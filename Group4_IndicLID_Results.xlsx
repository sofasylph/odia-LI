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Track A" sheetId="2" state="visible" r:id="rId4"/>
    <sheet name="Track B" sheetId="3" state="visible" r:id="rId5"/>
    <sheet name="Track C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Paper Table 4, IndicLID-FTR (dim-8).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27</xdr:colOff>
                <xdr:row>0</xdr:row>
                <xdr:rowOff>5</xdr:rowOff>
              </xdr:from>
              <xdr:to>
                <xdr:col>2</xdr:col>
                <xdr:colOff>-51</xdr:colOff>
                <xdr:row>3</xdr:row>
                <xdr:rowOff>21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Paper Table 4, IndicLID-BERT (unfreeze-layer-1).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27</xdr:colOff>
                <xdr:row>0</xdr:row>
                <xdr:rowOff>5</xdr:rowOff>
              </xdr:from>
              <xdr:to>
                <xdr:col>2</xdr:col>
                <xdr:colOff>-51</xdr:colOff>
                <xdr:row>3</xdr:row>
                <xdr:rowOff>21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Paper Table 4, IndicLID (threshold-0.6). This is the assignment target.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27</xdr:colOff>
                <xdr:row>0</xdr:row>
                <xdr:rowOff>5</xdr:rowOff>
              </xdr:from>
              <xdr:to>
                <xdr:col>2</xdr:col>
                <xdr:colOff>-51</xdr:colOff>
                <xdr:row>3</xdr:row>
                <xdr:rowOff>21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Paper Table 10, IndicLID-FTR, Oriya row.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27</xdr:colOff>
                <xdr:row>0</xdr:row>
                <xdr:rowOff>5</xdr:rowOff>
              </xdr:from>
              <xdr:to>
                <xdr:col>2</xdr:col>
                <xdr:colOff>-51</xdr:colOff>
                <xdr:row>3</xdr:row>
                <xdr:rowOff>21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Paper Table 10, IndicLID-BERT, Oriya row.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27</xdr:colOff>
                <xdr:row>0</xdr:row>
                <xdr:rowOff>5</xdr:rowOff>
              </xdr:from>
              <xdr:to>
                <xdr:col>2</xdr:col>
                <xdr:colOff>-51</xdr:colOff>
                <xdr:row>3</xdr:row>
                <xdr:rowOff>21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Paper Table 10, IndicLID (threshold 0.6), Oriya row. Assignment target.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27</xdr:colOff>
                <xdr:row>0</xdr:row>
                <xdr:rowOff>5</xdr:rowOff>
              </xdr:from>
              <xdr:to>
                <xdr:col>2</xdr:col>
                <xdr:colOff>-51</xdr:colOff>
                <xdr:row>3</xdr:row>
                <xdr:rowOff>21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14" authorId="0">
      <text>
        <r>
          <rPr>
            <sz val="10"/>
            <rFont val="Arial"/>
            <family val="2"/>
          </rPr>
          <t xml:space="preserve">Running-average loss logged at step 2,400 of 2,445, not the exact final step.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<sst xmlns="http://schemas.openxmlformats.org/spreadsheetml/2006/main" count="170" uniqueCount="135">
  <si>
    <t xml:space="preserve">Group 4 — Romanized / Code-mixed Robustness (Language Identification)</t>
  </si>
  <si>
    <t xml:space="preserve">IndicLID on Bhasha-Abhijnaanam, with native Odia transfer evaluation.</t>
  </si>
  <si>
    <t xml:space="preserve">Group No.</t>
  </si>
  <si>
    <t xml:space="preserve">4</t>
  </si>
  <si>
    <t xml:space="preserve">Task</t>
  </si>
  <si>
    <t xml:space="preserve">Romanized / Code-mixed Robustness (Language Identification)</t>
  </si>
  <si>
    <t xml:space="preserve">Target result</t>
  </si>
  <si>
    <t xml:space="preserve">80.40% overall accuracy; 76.44 Odia F1 (IndicLID ensemble, paper Tables 4 and 10)</t>
  </si>
  <si>
    <t xml:space="preserve">Result</t>
  </si>
  <si>
    <t xml:space="preserve">Target</t>
  </si>
  <si>
    <t xml:space="preserve">Achieved</t>
  </si>
  <si>
    <t xml:space="preserve">Δ</t>
  </si>
  <si>
    <t xml:space="preserve">Comparable to target?</t>
  </si>
  <si>
    <t xml:space="preserve">Reproduction — published ensemble @0.6, accuracy (%)</t>
  </si>
  <si>
    <t xml:space="preserve">Yes</t>
  </si>
  <si>
    <t xml:space="preserve">Reproduction — published ensemble @0.6, Odia F1 (%)</t>
  </si>
  <si>
    <t xml:space="preserve">Fine-tuned ensemble, held-out test, accuracy (%)</t>
  </si>
  <si>
    <t xml:space="preserve">—</t>
  </si>
  <si>
    <t xml:space="preserve">No — different experiment</t>
  </si>
  <si>
    <t xml:space="preserve">Fine-tuned ensemble, held-out test, macro F1 (%)</t>
  </si>
  <si>
    <t xml:space="preserve">Fine-tuned ensemble, held-out test, Odia F1 (%)</t>
  </si>
  <si>
    <t xml:space="preserve">Native Odia test set</t>
  </si>
  <si>
    <t xml:space="preserve">Pending</t>
  </si>
  <si>
    <t xml:space="preserve">Sample size</t>
  </si>
  <si>
    <t xml:space="preserve">Train</t>
  </si>
  <si>
    <t xml:space="preserve">Validation</t>
  </si>
  <si>
    <t xml:space="preserve">Test</t>
  </si>
  <si>
    <t xml:space="preserve">Total</t>
  </si>
  <si>
    <t xml:space="preserve">All 20 languages (romanized)</t>
  </si>
  <si>
    <t xml:space="preserve">Odia only</t>
  </si>
  <si>
    <t xml:space="preserve">Train after class balancing</t>
  </si>
  <si>
    <t xml:space="preserve">The benchmark ships as a single test set with no official split. We partitioned it ourselves: stratified by language, seed 42, 80/10/10.</t>
  </si>
  <si>
    <t xml:space="preserve">Track A — Published-model reproduction</t>
  </si>
  <si>
    <t xml:space="preserve">Authors' released models, no training. Full romanized benchmark, n = 55,821 sentences, 20 languages. Odia n = 512.</t>
  </si>
  <si>
    <t xml:space="preserve">#</t>
  </si>
  <si>
    <t xml:space="preserve">Model</t>
  </si>
  <si>
    <t xml:space="preserve">Threshold</t>
  </si>
  <si>
    <t xml:space="preserve">% sent to BERT</t>
  </si>
  <si>
    <t xml:space="preserve">Accuracy (%)</t>
  </si>
  <si>
    <t xml:space="preserve">Paper accuracy (%)</t>
  </si>
  <si>
    <t xml:space="preserve">Δ accuracy</t>
  </si>
  <si>
    <t xml:space="preserve">Odia precision (%)</t>
  </si>
  <si>
    <t xml:space="preserve">Odia recall (%)</t>
  </si>
  <si>
    <t xml:space="preserve">Odia F1 (%)</t>
  </si>
  <si>
    <t xml:space="preserve">Paper Odia F1 (%)</t>
  </si>
  <si>
    <t xml:space="preserve">Δ Odia F1</t>
  </si>
  <si>
    <t xml:space="preserve">A1</t>
  </si>
  <si>
    <t xml:space="preserve">IndicLID-FTR alone</t>
  </si>
  <si>
    <t xml:space="preserve">A2</t>
  </si>
  <si>
    <t xml:space="preserve">IndicLID-BERT alone</t>
  </si>
  <si>
    <t xml:space="preserve">A3</t>
  </si>
  <si>
    <t xml:space="preserve">IndicLID ensemble (reported)</t>
  </si>
  <si>
    <t xml:space="preserve">Odia F1 is computed from the logged precision and recall. Δ = ours minus paper.</t>
  </si>
  <si>
    <t xml:space="preserve">Threshold sweep — diagnostic only, not used for model selection</t>
  </si>
  <si>
    <t xml:space="preserve">At 0.6, a perfect BERT on every escalated sentence would cap accuracy at 79.89% — the target is unreachable at the paper's threshold with the released binary.</t>
  </si>
  <si>
    <t xml:space="preserve">Paper accuracy, Table 9 (%)</t>
  </si>
  <si>
    <t xml:space="preserve">Track B — Our fine-tuning experiment</t>
  </si>
  <si>
    <t xml:space="preserve">Benchmark partitioned by us (stratified by language, seed 42, 80/10/10). Not comparable to the paper's 80.40 — see Notes.</t>
  </si>
  <si>
    <t xml:space="preserve">1. FastText training runs (selected on validation)</t>
  </si>
  <si>
    <t xml:space="preserve">Train 44,649 → balanced to 78,220 · dim 8 · char n-grams 3–6 · wordNgrams 4 · 30 epochs · softmax loss · 1 thread</t>
  </si>
  <si>
    <t xml:space="preserve">Run</t>
  </si>
  <si>
    <t xml:space="preserve">Seed</t>
  </si>
  <si>
    <t xml:space="preserve">Learning rate</t>
  </si>
  <si>
    <t xml:space="preserve">Valid macro F1 (%)</t>
  </si>
  <si>
    <t xml:space="preserve">Selected</t>
  </si>
  <si>
    <t xml:space="preserve">B1</t>
  </si>
  <si>
    <t xml:space="preserve">0.5 diverged → 0.3</t>
  </si>
  <si>
    <t xml:space="preserve">B2</t>
  </si>
  <si>
    <t xml:space="preserve">0.5</t>
  </si>
  <si>
    <t xml:space="preserve">✓</t>
  </si>
  <si>
    <t xml:space="preserve">B3</t>
  </si>
  <si>
    <t xml:space="preserve">Seed spread</t>
  </si>
  <si>
    <t xml:space="preserve">2. BERT fine-tuning configuration</t>
  </si>
  <si>
    <t xml:space="preserve">Epochs</t>
  </si>
  <si>
    <t xml:space="preserve">Max length</t>
  </si>
  <si>
    <t xml:space="preserve">Batch size</t>
  </si>
  <si>
    <t xml:space="preserve">Training rows</t>
  </si>
  <si>
    <t xml:space="preserve">Total steps</t>
  </si>
  <si>
    <t xml:space="preserve">Trainable params (M)</t>
  </si>
  <si>
    <t xml:space="preserve">Total params (M)</t>
  </si>
  <si>
    <t xml:space="preserve">Final training loss</t>
  </si>
  <si>
    <t xml:space="preserve">2e-5</t>
  </si>
  <si>
    <t xml:space="preserve">Only the final encoder layer, pooler and classifier head were trained (paper's unfreeze-layer-1 setting).</t>
  </si>
  <si>
    <t xml:space="preserve">3. Ensemble threshold selection (validation, n = 5,581)</t>
  </si>
  <si>
    <t xml:space="preserve">0.6</t>
  </si>
  <si>
    <t xml:space="preserve">0.7</t>
  </si>
  <si>
    <t xml:space="preserve">0.8</t>
  </si>
  <si>
    <t xml:space="preserve">0.9</t>
  </si>
  <si>
    <t xml:space="preserve">0.95</t>
  </si>
  <si>
    <t xml:space="preserve">0.99</t>
  </si>
  <si>
    <t xml:space="preserve">all to BERT</t>
  </si>
  <si>
    <t xml:space="preserve">4. Final results — held-out test (n = 5,591, Odia n = 52)</t>
  </si>
  <si>
    <t xml:space="preserve">Macro F1 (%)</t>
  </si>
  <si>
    <t xml:space="preserve">Odia TP</t>
  </si>
  <si>
    <t xml:space="preserve">Odia FP</t>
  </si>
  <si>
    <t xml:space="preserve">Odia FN</t>
  </si>
  <si>
    <t xml:space="preserve">Fine-tuned FastText alone</t>
  </si>
  <si>
    <t xml:space="preserve">Fine-tuned ensemble (reported)</t>
  </si>
  <si>
    <t xml:space="preserve">Odia counts are exact: they reproduce the logged precision and recall (49/50 = 98.00%, 49/52 = 94.23%). With 52 Odia sentences, one sentence moves Odia F1 by roughly 1–2 points.</t>
  </si>
  <si>
    <t xml:space="preserve">Track C — Native Odia evaluation</t>
  </si>
  <si>
    <t xml:space="preserve">Same saved Track B model, same preprocessing, same threshold (0.6). The native set is never used to choose anything.</t>
  </si>
  <si>
    <t xml:space="preserve">HOW TO FILL IN: type your Track C results into the yellow cells only (numbers, e.g. 71.25 for 71.25%). Everything else calculates.</t>
  </si>
  <si>
    <t xml:space="preserve">Metric</t>
  </si>
  <si>
    <t xml:space="preserve">Track B (benchmark test)</t>
  </si>
  <si>
    <t xml:space="preserve">Track C (native Odia)</t>
  </si>
  <si>
    <t xml:space="preserve">Translationese gap (B − C)</t>
  </si>
  <si>
    <t xml:space="preserve">Sentences evaluated</t>
  </si>
  <si>
    <t xml:space="preserve">Before filling in: check the file is romanized (not Odia script) and whether every row is Odia. If all rows are Odia, F1 collapses to recall — say so.</t>
  </si>
  <si>
    <t xml:space="preserve">Notes, caveats and sources</t>
  </si>
  <si>
    <t xml:space="preserve">Topic</t>
  </si>
  <si>
    <t xml:space="preserve">Detail</t>
  </si>
  <si>
    <t xml:space="preserve">Why Track B is not compared to 80.40</t>
  </si>
  <si>
    <t xml:space="preserve">The paper trained on machine-transliterated text and tested on human-typed romanization. We trained on 80% of the benchmark and tested on the held-out 10%, so training and test come from the same pool. The paper's own Table 5 shows the same model scoring 95.96% when test data matches its training distribution, versus 80.40% when it does not.</t>
  </si>
  <si>
    <t xml:space="preserve">Why Track A falls short at 0.6</t>
  </si>
  <si>
    <t xml:space="preserve">Only 12% of sentences are escalated to BERT (the paper's Table 9 throughputs imply ~30%). With a perfect BERT the ceiling is 79.89%. Components reproduce within a point (FTR 70.70 vs 71.49; BERT 79.98 vs 80.04), isolating the gap to confidence calibration.</t>
  </si>
  <si>
    <t xml:space="preserve">Calibration cause — unverified</t>
  </si>
  <si>
    <t xml:space="preserve">Consistent with a fasttext library-version difference in confidence computation. Not directly tested: fasttext 0.9.2 does not build on Python 3.12+.</t>
  </si>
  <si>
    <t xml:space="preserve">Ruled out</t>
  </si>
  <si>
    <t xml:space="preserve">FTR binary byte-identical to HuggingFace and GitHub releases; routing condition matches official code (pred_score &gt; 0.6); script gate blocks 1 of 55,821; BERT label mapping verified by probe.</t>
  </si>
  <si>
    <t xml:space="preserve">Label-set asymmetry</t>
  </si>
  <si>
    <t xml:space="preserve">The published model outputs 22 labels (incl. English, Other); ours outputs 20. Published FTR predicts eng/other on 3.88% of sentences — errors ours cannot make.</t>
  </si>
  <si>
    <t xml:space="preserve">Leakage audit</t>
  </si>
  <si>
    <t xml:space="preserve">Zero unique_identifier overlap across splits. 23 of 5,591 test sentences also appear in train — caused by 99 duplicate sentences inside the released dataset, not the split. Oversampling drew from the train split only.</t>
  </si>
  <si>
    <t xml:space="preserve">Not recorded</t>
  </si>
  <si>
    <t xml:space="preserve">Training times; Track B BERT-alone accuracy; bootstrap confidence intervals for the final model (uncertainty cell not yet run).</t>
  </si>
  <si>
    <t xml:space="preserve">Colour key</t>
  </si>
  <si>
    <t xml:space="preserve">Blue = typed-in value from our runs or the paper · Black = formula · Green = link to another sheet · Yellow highlight = reported headline result · Bright yellow fill = cell for you to fill in (Track C).</t>
  </si>
  <si>
    <t xml:space="preserve">Source — paper</t>
  </si>
  <si>
    <t xml:space="preserve">Madhani, Khapra &amp; Kunchukuttan (2023). Bhasha-Abhijnaanam: Native-script and Romanized Language Identification for 22 Indic Languages. ACL 2023 (Short). https://aclanthology.org/2023.acl-short.71/ — Tables 4, 5, 9, 10.</t>
  </si>
  <si>
    <t xml:space="preserve">Source — dataset</t>
  </si>
  <si>
    <t xml:space="preserve">https://huggingface.co/datasets/ai4bharat/Bhasha-Abhijnaanam</t>
  </si>
  <si>
    <t xml:space="preserve">Source — models</t>
  </si>
  <si>
    <t xml:space="preserve">https://huggingface.co/ai4bharat/IndicLID-FTR · https://huggingface.co/ai4bharat/IndicLID-BERT</t>
  </si>
  <si>
    <t xml:space="preserve">Source — our values</t>
  </si>
  <si>
    <t xml:space="preserve">All 'Ours' figures are from our Colab runs (indiclid_ensemble_colab_v2.ipynb).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</si>
</sst>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\+0.00;\-0.00;0.00"/>
    <numFmt numFmtId="167" formatCode="#,##0"/>
    <numFmt numFmtId="168" formatCode="0.0"/>
    <numFmt numFmtId="169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26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/>
      <c r="D4" s="5"/>
      <c r="E4" s="5"/>
    </row>
    <row r="5" customFormat="false" ht="15" hidden="false" customHeight="true" outlineLevel="0" collapsed="false">
      <c r="A5" s="4" t="s">
        <v>4</v>
      </c>
      <c r="B5" s="5" t="s">
        <v>5</v>
      </c>
      <c r="C5" s="5"/>
      <c r="D5" s="5"/>
      <c r="E5" s="5"/>
    </row>
    <row r="6" customFormat="false" ht="15" hidden="false" customHeight="true" outlineLevel="0" collapsed="false">
      <c r="A6" s="4" t="s">
        <v>6</v>
      </c>
      <c r="B6" s="5" t="s">
        <v>7</v>
      </c>
      <c r="C6" s="5"/>
      <c r="D6" s="5"/>
      <c r="E6" s="5"/>
    </row>
    <row r="8" customFormat="false" ht="31.5" hidden="false" customHeight="true" outlineLevel="0" collapsed="false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</row>
    <row r="9" customFormat="false" ht="15" hidden="false" customHeight="false" outlineLevel="0" collapsed="false">
      <c r="A9" s="7" t="s">
        <v>13</v>
      </c>
      <c r="B9" s="8" t="n">
        <v>80.4</v>
      </c>
      <c r="C9" s="9" t="n">
        <f aca="false">'Track A'!E7</f>
        <v>75.25</v>
      </c>
      <c r="D9" s="10" t="n">
        <f aca="false">C9-B9</f>
        <v>-5.15000000000001</v>
      </c>
      <c r="E9" s="7" t="s">
        <v>14</v>
      </c>
    </row>
    <row r="10" customFormat="false" ht="15" hidden="false" customHeight="false" outlineLevel="0" collapsed="false">
      <c r="A10" s="7" t="s">
        <v>15</v>
      </c>
      <c r="B10" s="8" t="n">
        <v>76.44</v>
      </c>
      <c r="C10" s="9" t="n">
        <f aca="false">'Track A'!J7</f>
        <v>67.7195349149808</v>
      </c>
      <c r="D10" s="10" t="n">
        <f aca="false">C10-B10</f>
        <v>-8.72046508501916</v>
      </c>
      <c r="E10" s="7" t="s">
        <v>14</v>
      </c>
    </row>
    <row r="11" customFormat="false" ht="15" hidden="false" customHeight="false" outlineLevel="0" collapsed="false">
      <c r="A11" s="5" t="s">
        <v>16</v>
      </c>
      <c r="B11" s="11" t="s">
        <v>17</v>
      </c>
      <c r="C11" s="12" t="n">
        <f aca="false">'Track B'!C30</f>
        <v>96.14</v>
      </c>
      <c r="D11" s="13" t="s">
        <v>17</v>
      </c>
      <c r="E11" s="5" t="s">
        <v>18</v>
      </c>
    </row>
    <row r="12" customFormat="false" ht="15" hidden="false" customHeight="false" outlineLevel="0" collapsed="false">
      <c r="A12" s="5" t="s">
        <v>19</v>
      </c>
      <c r="B12" s="11" t="s">
        <v>17</v>
      </c>
      <c r="C12" s="12" t="n">
        <f aca="false">'Track B'!D30</f>
        <v>96.18</v>
      </c>
      <c r="D12" s="13" t="s">
        <v>17</v>
      </c>
      <c r="E12" s="5" t="s">
        <v>18</v>
      </c>
    </row>
    <row r="13" customFormat="false" ht="15" hidden="false" customHeight="false" outlineLevel="0" collapsed="false">
      <c r="A13" s="5" t="s">
        <v>20</v>
      </c>
      <c r="B13" s="11" t="s">
        <v>17</v>
      </c>
      <c r="C13" s="12" t="n">
        <f aca="false">'Track B'!J30</f>
        <v>96.078431372549</v>
      </c>
      <c r="D13" s="13" t="s">
        <v>17</v>
      </c>
      <c r="E13" s="5" t="s">
        <v>18</v>
      </c>
    </row>
    <row r="14" customFormat="false" ht="15" hidden="false" customHeight="false" outlineLevel="0" collapsed="false">
      <c r="A14" s="5" t="s">
        <v>21</v>
      </c>
      <c r="B14" s="11" t="s">
        <v>17</v>
      </c>
      <c r="C14" s="5" t="s">
        <v>22</v>
      </c>
      <c r="D14" s="13" t="s">
        <v>17</v>
      </c>
      <c r="E14" s="5" t="s">
        <v>17</v>
      </c>
    </row>
    <row r="16" customFormat="false" ht="31.5" hidden="false" customHeight="true" outlineLevel="0" collapsed="false">
      <c r="A16" s="6" t="s">
        <v>23</v>
      </c>
      <c r="B16" s="6" t="s">
        <v>24</v>
      </c>
      <c r="C16" s="6" t="s">
        <v>25</v>
      </c>
      <c r="D16" s="6" t="s">
        <v>26</v>
      </c>
      <c r="E16" s="6" t="s">
        <v>27</v>
      </c>
    </row>
    <row r="17" customFormat="false" ht="15" hidden="false" customHeight="false" outlineLevel="0" collapsed="false">
      <c r="A17" s="14" t="s">
        <v>28</v>
      </c>
      <c r="B17" s="15" t="n">
        <v>44649</v>
      </c>
      <c r="C17" s="15" t="n">
        <v>5581</v>
      </c>
      <c r="D17" s="15" t="n">
        <v>5591</v>
      </c>
      <c r="E17" s="16" t="n">
        <f aca="false">SUM(B17:D17)</f>
        <v>55821</v>
      </c>
    </row>
    <row r="18" customFormat="false" ht="15" hidden="false" customHeight="false" outlineLevel="0" collapsed="false">
      <c r="A18" s="14" t="s">
        <v>29</v>
      </c>
      <c r="B18" s="15" t="n">
        <v>409</v>
      </c>
      <c r="C18" s="15" t="n">
        <v>51</v>
      </c>
      <c r="D18" s="15" t="n">
        <v>52</v>
      </c>
      <c r="E18" s="16" t="n">
        <f aca="false">SUM(B18:D18)</f>
        <v>512</v>
      </c>
    </row>
    <row r="19" customFormat="false" ht="15" hidden="false" customHeight="false" outlineLevel="0" collapsed="false">
      <c r="A19" s="14" t="s">
        <v>30</v>
      </c>
      <c r="B19" s="15" t="n">
        <v>78220</v>
      </c>
    </row>
    <row r="20" customFormat="false" ht="15" hidden="false" customHeight="false" outlineLevel="0" collapsed="false">
      <c r="A20" s="3" t="s">
        <v>31</v>
      </c>
    </row>
  </sheetData>
  <mergeCells count="3">
    <mergeCell ref="B4:E4"/>
    <mergeCell ref="B5:E5"/>
    <mergeCell ref="B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11"/>
  </cols>
  <sheetData>
    <row r="1" customFormat="false" ht="17.35" hidden="false" customHeight="false" outlineLevel="0" collapsed="false">
      <c r="A1" s="2" t="s">
        <v>32</v>
      </c>
    </row>
    <row r="2" customFormat="false" ht="15" hidden="false" customHeight="false" outlineLevel="0" collapsed="false">
      <c r="A2" s="3" t="s">
        <v>33</v>
      </c>
    </row>
    <row r="4" customFormat="false" ht="31.5" hidden="false" customHeight="tru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</row>
    <row r="5" customFormat="false" ht="15" hidden="false" customHeight="false" outlineLevel="0" collapsed="false">
      <c r="A5" s="14" t="s">
        <v>46</v>
      </c>
      <c r="B5" s="5" t="s">
        <v>47</v>
      </c>
      <c r="C5" s="17" t="s">
        <v>17</v>
      </c>
      <c r="D5" s="17" t="n">
        <v>0</v>
      </c>
      <c r="E5" s="18" t="n">
        <v>70.7</v>
      </c>
      <c r="F5" s="18" t="n">
        <v>71.49</v>
      </c>
      <c r="G5" s="19" t="n">
        <f aca="false">E5-F5</f>
        <v>-0.789999999999992</v>
      </c>
      <c r="H5" s="18" t="n">
        <v>46.3</v>
      </c>
      <c r="I5" s="18" t="n">
        <v>96.48</v>
      </c>
      <c r="J5" s="20" t="n">
        <f aca="false">2*H5*I5/(H5+I5)</f>
        <v>62.5721249474716</v>
      </c>
      <c r="K5" s="18" t="n">
        <v>58.26</v>
      </c>
      <c r="L5" s="19" t="n">
        <f aca="false">J5-K5</f>
        <v>4.31212494747164</v>
      </c>
    </row>
    <row r="6" customFormat="false" ht="15" hidden="false" customHeight="false" outlineLevel="0" collapsed="false">
      <c r="A6" s="14" t="s">
        <v>48</v>
      </c>
      <c r="B6" s="5" t="s">
        <v>49</v>
      </c>
      <c r="C6" s="17" t="s">
        <v>17</v>
      </c>
      <c r="D6" s="17" t="n">
        <v>100</v>
      </c>
      <c r="E6" s="18" t="n">
        <v>79.98</v>
      </c>
      <c r="F6" s="18" t="n">
        <v>80.04</v>
      </c>
      <c r="G6" s="19" t="n">
        <f aca="false">E6-F6</f>
        <v>-0.0600000000000023</v>
      </c>
      <c r="H6" s="18" t="n">
        <v>57.44</v>
      </c>
      <c r="I6" s="18" t="n">
        <v>95.7</v>
      </c>
      <c r="J6" s="20" t="n">
        <f aca="false">2*H6*I6/(H6+I6)</f>
        <v>71.7906229593836</v>
      </c>
      <c r="K6" s="18" t="n">
        <v>76.71</v>
      </c>
      <c r="L6" s="19" t="n">
        <f aca="false">J6-K6</f>
        <v>-4.91937704061643</v>
      </c>
    </row>
    <row r="7" customFormat="false" ht="15" hidden="false" customHeight="false" outlineLevel="0" collapsed="false">
      <c r="A7" s="21" t="s">
        <v>50</v>
      </c>
      <c r="B7" s="21" t="s">
        <v>51</v>
      </c>
      <c r="C7" s="22" t="n">
        <v>0.6</v>
      </c>
      <c r="D7" s="22" t="n">
        <v>12</v>
      </c>
      <c r="E7" s="23" t="n">
        <v>75.25</v>
      </c>
      <c r="F7" s="8" t="n">
        <v>80.4</v>
      </c>
      <c r="G7" s="10" t="n">
        <f aca="false">E7-F7</f>
        <v>-5.15000000000001</v>
      </c>
      <c r="H7" s="8" t="n">
        <v>52.11</v>
      </c>
      <c r="I7" s="8" t="n">
        <v>96.68</v>
      </c>
      <c r="J7" s="24" t="n">
        <f aca="false">2*H7*I7/(H7+I7)</f>
        <v>67.7195349149808</v>
      </c>
      <c r="K7" s="8" t="n">
        <v>76.44</v>
      </c>
      <c r="L7" s="10" t="n">
        <f aca="false">J7-K7</f>
        <v>-8.72046508501916</v>
      </c>
    </row>
    <row r="8" customFormat="false" ht="15" hidden="false" customHeight="false" outlineLevel="0" collapsed="false">
      <c r="A8" s="3" t="s">
        <v>52</v>
      </c>
    </row>
    <row r="10" customFormat="false" ht="15" hidden="false" customHeight="false" outlineLevel="0" collapsed="false">
      <c r="A10" s="25" t="s">
        <v>53</v>
      </c>
    </row>
    <row r="11" customFormat="false" ht="15" hidden="false" customHeight="false" outlineLevel="0" collapsed="false">
      <c r="A11" s="3" t="s">
        <v>54</v>
      </c>
    </row>
    <row r="12" customFormat="false" ht="31.5" hidden="false" customHeight="true" outlineLevel="0" collapsed="false">
      <c r="A12" s="6" t="s">
        <v>36</v>
      </c>
      <c r="B12" s="6" t="s">
        <v>37</v>
      </c>
      <c r="C12" s="6" t="s">
        <v>38</v>
      </c>
      <c r="D12" s="6" t="s">
        <v>55</v>
      </c>
      <c r="E12" s="6" t="s">
        <v>40</v>
      </c>
      <c r="F12" s="6" t="s">
        <v>43</v>
      </c>
    </row>
    <row r="13" customFormat="false" ht="15" hidden="false" customHeight="false" outlineLevel="0" collapsed="false">
      <c r="A13" s="17" t="n">
        <v>0.1</v>
      </c>
      <c r="B13" s="17" t="n">
        <v>0</v>
      </c>
      <c r="C13" s="18" t="n">
        <v>70.7</v>
      </c>
      <c r="D13" s="18" t="n">
        <v>71.49</v>
      </c>
      <c r="E13" s="19" t="n">
        <f aca="false">C13-D13</f>
        <v>-0.789999999999992</v>
      </c>
      <c r="F13" s="18" t="n">
        <v>62.57</v>
      </c>
    </row>
    <row r="14" customFormat="false" ht="15" hidden="false" customHeight="false" outlineLevel="0" collapsed="false">
      <c r="A14" s="17" t="n">
        <v>0.2</v>
      </c>
      <c r="B14" s="17" t="n">
        <v>0</v>
      </c>
      <c r="C14" s="18" t="n">
        <v>70.7</v>
      </c>
      <c r="D14" s="18" t="n">
        <v>71.77</v>
      </c>
      <c r="E14" s="19" t="n">
        <f aca="false">C14-D14</f>
        <v>-1.06999999999999</v>
      </c>
      <c r="F14" s="18" t="n">
        <v>62.57</v>
      </c>
    </row>
    <row r="15" customFormat="false" ht="15" hidden="false" customHeight="false" outlineLevel="0" collapsed="false">
      <c r="A15" s="17" t="n">
        <v>0.3</v>
      </c>
      <c r="B15" s="17" t="n">
        <v>0.3</v>
      </c>
      <c r="C15" s="18" t="n">
        <v>70.83</v>
      </c>
      <c r="D15" s="18" t="n">
        <v>73.84</v>
      </c>
      <c r="E15" s="19" t="n">
        <f aca="false">C15-D15</f>
        <v>-3.01000000000001</v>
      </c>
      <c r="F15" s="18" t="n">
        <v>62.73</v>
      </c>
    </row>
    <row r="16" customFormat="false" ht="15" hidden="false" customHeight="false" outlineLevel="0" collapsed="false">
      <c r="A16" s="17" t="n">
        <v>0.4</v>
      </c>
      <c r="B16" s="17" t="n">
        <v>2.2</v>
      </c>
      <c r="C16" s="18" t="n">
        <v>71.68</v>
      </c>
      <c r="D16" s="18" t="n">
        <v>76.84</v>
      </c>
      <c r="E16" s="19" t="n">
        <f aca="false">C16-D16</f>
        <v>-5.16</v>
      </c>
      <c r="F16" s="18" t="n">
        <v>63.62</v>
      </c>
    </row>
    <row r="17" customFormat="false" ht="15" hidden="false" customHeight="false" outlineLevel="0" collapsed="false">
      <c r="A17" s="17" t="n">
        <v>0.5</v>
      </c>
      <c r="B17" s="17" t="n">
        <v>6.1</v>
      </c>
      <c r="C17" s="18" t="n">
        <v>73.28</v>
      </c>
      <c r="D17" s="18" t="n">
        <v>79.15</v>
      </c>
      <c r="E17" s="19" t="n">
        <f aca="false">C17-D17</f>
        <v>-5.87</v>
      </c>
      <c r="F17" s="18" t="n">
        <v>64.44</v>
      </c>
    </row>
    <row r="18" customFormat="false" ht="15" hidden="false" customHeight="false" outlineLevel="0" collapsed="false">
      <c r="A18" s="22" t="n">
        <v>0.6</v>
      </c>
      <c r="B18" s="22" t="n">
        <v>12</v>
      </c>
      <c r="C18" s="8" t="n">
        <v>75.25</v>
      </c>
      <c r="D18" s="8" t="n">
        <v>80.4</v>
      </c>
      <c r="E18" s="10" t="n">
        <f aca="false">C18-D18</f>
        <v>-5.15000000000001</v>
      </c>
      <c r="F18" s="8" t="n">
        <v>67.72</v>
      </c>
    </row>
    <row r="19" customFormat="false" ht="15" hidden="false" customHeight="false" outlineLevel="0" collapsed="false">
      <c r="A19" s="17" t="n">
        <v>0.7</v>
      </c>
      <c r="B19" s="17" t="n">
        <v>18</v>
      </c>
      <c r="C19" s="18" t="n">
        <v>77.09</v>
      </c>
      <c r="D19" s="18" t="n">
        <v>80.93</v>
      </c>
      <c r="E19" s="19" t="n">
        <f aca="false">C19-D19</f>
        <v>-3.84</v>
      </c>
      <c r="F19" s="18" t="n">
        <v>69.08</v>
      </c>
    </row>
    <row r="20" customFormat="false" ht="15" hidden="false" customHeight="false" outlineLevel="0" collapsed="false">
      <c r="A20" s="17" t="n">
        <v>0.8</v>
      </c>
      <c r="B20" s="17" t="n">
        <v>24.1</v>
      </c>
      <c r="C20" s="18" t="n">
        <v>78.47</v>
      </c>
      <c r="D20" s="18" t="n">
        <v>80.96</v>
      </c>
      <c r="E20" s="19" t="n">
        <f aca="false">C20-D20</f>
        <v>-2.49</v>
      </c>
      <c r="F20" s="18" t="n">
        <v>69.9</v>
      </c>
    </row>
    <row r="21" customFormat="false" ht="15" hidden="false" customHeight="false" outlineLevel="0" collapsed="false">
      <c r="A21" s="17" t="n">
        <v>0.9</v>
      </c>
      <c r="B21" s="17" t="n">
        <v>32</v>
      </c>
      <c r="C21" s="18" t="n">
        <v>79.89</v>
      </c>
      <c r="D21" s="18" t="n">
        <v>80.62</v>
      </c>
      <c r="E21" s="19" t="n">
        <f aca="false">C21-D21</f>
        <v>-0.730000000000004</v>
      </c>
      <c r="F21" s="18" t="n">
        <v>71.89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4" min="3" style="1" width="16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9" min="8" style="1" width="16"/>
    <col collapsed="false" customWidth="true" hidden="false" outlineLevel="0" max="10" min="10" style="1" width="12"/>
  </cols>
  <sheetData>
    <row r="1" customFormat="false" ht="17.35" hidden="false" customHeight="false" outlineLevel="0" collapsed="false">
      <c r="A1" s="2" t="s">
        <v>56</v>
      </c>
    </row>
    <row r="2" customFormat="false" ht="15" hidden="false" customHeight="false" outlineLevel="0" collapsed="false">
      <c r="A2" s="3" t="s">
        <v>57</v>
      </c>
    </row>
    <row r="4" customFormat="false" ht="15" hidden="false" customHeight="false" outlineLevel="0" collapsed="false">
      <c r="A4" s="25" t="s">
        <v>58</v>
      </c>
    </row>
    <row r="5" customFormat="false" ht="15" hidden="false" customHeight="false" outlineLevel="0" collapsed="false">
      <c r="A5" s="3" t="s">
        <v>59</v>
      </c>
    </row>
    <row r="6" customFormat="false" ht="31.5" hidden="false" customHeight="true" outlineLevel="0" collapsed="false">
      <c r="A6" s="6" t="s">
        <v>60</v>
      </c>
      <c r="B6" s="6" t="s">
        <v>61</v>
      </c>
      <c r="C6" s="6" t="s">
        <v>62</v>
      </c>
      <c r="D6" s="6" t="s">
        <v>63</v>
      </c>
      <c r="E6" s="6" t="s">
        <v>64</v>
      </c>
    </row>
    <row r="7" customFormat="false" ht="15" hidden="false" customHeight="false" outlineLevel="0" collapsed="false">
      <c r="A7" s="14" t="s">
        <v>65</v>
      </c>
      <c r="B7" s="26" t="n">
        <v>42</v>
      </c>
      <c r="C7" s="5" t="s">
        <v>66</v>
      </c>
      <c r="D7" s="18" t="n">
        <v>95.8</v>
      </c>
      <c r="E7" s="5"/>
    </row>
    <row r="8" customFormat="false" ht="15" hidden="false" customHeight="false" outlineLevel="0" collapsed="false">
      <c r="A8" s="21" t="s">
        <v>67</v>
      </c>
      <c r="B8" s="27" t="n">
        <v>7</v>
      </c>
      <c r="C8" s="7" t="s">
        <v>68</v>
      </c>
      <c r="D8" s="8" t="n">
        <v>95.81</v>
      </c>
      <c r="E8" s="7" t="s">
        <v>69</v>
      </c>
    </row>
    <row r="9" customFormat="false" ht="15" hidden="false" customHeight="false" outlineLevel="0" collapsed="false">
      <c r="A9" s="14" t="s">
        <v>70</v>
      </c>
      <c r="B9" s="26" t="n">
        <v>1</v>
      </c>
      <c r="C9" s="5" t="s">
        <v>68</v>
      </c>
      <c r="D9" s="18" t="n">
        <v>95.73</v>
      </c>
      <c r="E9" s="5"/>
    </row>
    <row r="10" customFormat="false" ht="15" hidden="false" customHeight="false" outlineLevel="0" collapsed="false">
      <c r="C10" s="14" t="s">
        <v>71</v>
      </c>
      <c r="D10" s="20" t="n">
        <f aca="false">MAX(D7:D9)-MIN(D7:D9)</f>
        <v>0.0799999999999983</v>
      </c>
    </row>
    <row r="12" customFormat="false" ht="15" hidden="false" customHeight="false" outlineLevel="0" collapsed="false">
      <c r="A12" s="25" t="s">
        <v>72</v>
      </c>
    </row>
    <row r="13" customFormat="false" ht="31.5" hidden="false" customHeight="true" outlineLevel="0" collapsed="false">
      <c r="A13" s="6" t="s">
        <v>73</v>
      </c>
      <c r="B13" s="6" t="s">
        <v>74</v>
      </c>
      <c r="C13" s="6" t="s">
        <v>62</v>
      </c>
      <c r="D13" s="6" t="s">
        <v>75</v>
      </c>
      <c r="E13" s="6" t="s">
        <v>76</v>
      </c>
      <c r="F13" s="6" t="s">
        <v>77</v>
      </c>
      <c r="G13" s="6" t="s">
        <v>78</v>
      </c>
      <c r="H13" s="6" t="s">
        <v>79</v>
      </c>
      <c r="I13" s="6" t="s">
        <v>80</v>
      </c>
    </row>
    <row r="14" customFormat="false" ht="15" hidden="false" customHeight="false" outlineLevel="0" collapsed="false">
      <c r="A14" s="26" t="n">
        <v>1</v>
      </c>
      <c r="B14" s="26" t="n">
        <v>128</v>
      </c>
      <c r="C14" s="5" t="s">
        <v>81</v>
      </c>
      <c r="D14" s="26" t="n">
        <v>32</v>
      </c>
      <c r="E14" s="15" t="n">
        <v>78220</v>
      </c>
      <c r="F14" s="16" t="n">
        <f aca="false">ROUNDUP(E14/D14,0)*A14</f>
        <v>2445</v>
      </c>
      <c r="G14" s="17" t="n">
        <v>7.7</v>
      </c>
      <c r="H14" s="17" t="n">
        <v>278.1</v>
      </c>
      <c r="I14" s="28" t="n">
        <v>0.2279</v>
      </c>
    </row>
    <row r="15" customFormat="false" ht="15" hidden="false" customHeight="false" outlineLevel="0" collapsed="false">
      <c r="A15" s="3" t="s">
        <v>82</v>
      </c>
    </row>
    <row r="17" customFormat="false" ht="15" hidden="false" customHeight="false" outlineLevel="0" collapsed="false">
      <c r="A17" s="25" t="s">
        <v>83</v>
      </c>
    </row>
    <row r="18" customFormat="false" ht="31.5" hidden="false" customHeight="true" outlineLevel="0" collapsed="false">
      <c r="A18" s="6" t="s">
        <v>36</v>
      </c>
      <c r="B18" s="6" t="s">
        <v>37</v>
      </c>
      <c r="C18" s="6" t="s">
        <v>63</v>
      </c>
      <c r="D18" s="6" t="s">
        <v>64</v>
      </c>
    </row>
    <row r="19" customFormat="false" ht="15" hidden="false" customHeight="false" outlineLevel="0" collapsed="false">
      <c r="A19" s="7" t="s">
        <v>84</v>
      </c>
      <c r="B19" s="22" t="n">
        <v>2</v>
      </c>
      <c r="C19" s="8" t="n">
        <v>96.23</v>
      </c>
      <c r="D19" s="7" t="s">
        <v>69</v>
      </c>
    </row>
    <row r="20" customFormat="false" ht="15" hidden="false" customHeight="false" outlineLevel="0" collapsed="false">
      <c r="A20" s="5" t="s">
        <v>85</v>
      </c>
      <c r="B20" s="17" t="n">
        <v>3.1</v>
      </c>
      <c r="C20" s="18" t="n">
        <v>96.19</v>
      </c>
      <c r="D20" s="5"/>
    </row>
    <row r="21" customFormat="false" ht="15" hidden="false" customHeight="false" outlineLevel="0" collapsed="false">
      <c r="A21" s="5" t="s">
        <v>86</v>
      </c>
      <c r="B21" s="17" t="n">
        <v>4.4</v>
      </c>
      <c r="C21" s="18" t="n">
        <v>96.05</v>
      </c>
      <c r="D21" s="5"/>
    </row>
    <row r="22" customFormat="false" ht="15" hidden="false" customHeight="false" outlineLevel="0" collapsed="false">
      <c r="A22" s="5" t="s">
        <v>87</v>
      </c>
      <c r="B22" s="17" t="n">
        <v>6</v>
      </c>
      <c r="C22" s="18" t="n">
        <v>96.03</v>
      </c>
      <c r="D22" s="5"/>
    </row>
    <row r="23" customFormat="false" ht="15" hidden="false" customHeight="false" outlineLevel="0" collapsed="false">
      <c r="A23" s="5" t="s">
        <v>88</v>
      </c>
      <c r="B23" s="17" t="n">
        <v>8.1</v>
      </c>
      <c r="C23" s="18" t="n">
        <v>95.84</v>
      </c>
      <c r="D23" s="5"/>
    </row>
    <row r="24" customFormat="false" ht="15" hidden="false" customHeight="false" outlineLevel="0" collapsed="false">
      <c r="A24" s="5" t="s">
        <v>89</v>
      </c>
      <c r="B24" s="17" t="n">
        <v>14.2</v>
      </c>
      <c r="C24" s="18" t="n">
        <v>95.22</v>
      </c>
      <c r="D24" s="5"/>
    </row>
    <row r="25" customFormat="false" ht="15" hidden="false" customHeight="false" outlineLevel="0" collapsed="false">
      <c r="A25" s="5" t="s">
        <v>90</v>
      </c>
      <c r="B25" s="17" t="n">
        <v>100</v>
      </c>
      <c r="C25" s="18" t="n">
        <v>93.84</v>
      </c>
      <c r="D25" s="5"/>
    </row>
    <row r="27" customFormat="false" ht="15" hidden="false" customHeight="false" outlineLevel="0" collapsed="false">
      <c r="A27" s="25" t="s">
        <v>91</v>
      </c>
    </row>
    <row r="28" customFormat="false" ht="31.5" hidden="false" customHeight="true" outlineLevel="0" collapsed="false">
      <c r="A28" s="6" t="s">
        <v>35</v>
      </c>
      <c r="B28" s="6" t="s">
        <v>37</v>
      </c>
      <c r="C28" s="6" t="s">
        <v>38</v>
      </c>
      <c r="D28" s="6" t="s">
        <v>92</v>
      </c>
      <c r="E28" s="6" t="s">
        <v>93</v>
      </c>
      <c r="F28" s="6" t="s">
        <v>94</v>
      </c>
      <c r="G28" s="6" t="s">
        <v>95</v>
      </c>
      <c r="H28" s="6" t="s">
        <v>41</v>
      </c>
      <c r="I28" s="6" t="s">
        <v>42</v>
      </c>
      <c r="J28" s="6" t="s">
        <v>43</v>
      </c>
    </row>
    <row r="29" customFormat="false" ht="15" hidden="false" customHeight="false" outlineLevel="0" collapsed="false">
      <c r="A29" s="5" t="s">
        <v>96</v>
      </c>
      <c r="B29" s="17" t="n">
        <v>0</v>
      </c>
      <c r="C29" s="18" t="n">
        <v>95.78</v>
      </c>
      <c r="D29" s="18" t="n">
        <v>95.74</v>
      </c>
      <c r="E29" s="26" t="n">
        <v>50</v>
      </c>
      <c r="F29" s="26" t="n">
        <v>0</v>
      </c>
      <c r="G29" s="26" t="n">
        <v>2</v>
      </c>
      <c r="H29" s="20" t="n">
        <f aca="false">IFERROR(E29/(E29+F29)*100,0)</f>
        <v>100</v>
      </c>
      <c r="I29" s="20" t="n">
        <f aca="false">IFERROR(E29/(E29+G29)*100,0)</f>
        <v>96.1538461538462</v>
      </c>
      <c r="J29" s="20" t="n">
        <f aca="false">IFERROR(2*H29*I29/(H29+I29),0)</f>
        <v>98.0392156862745</v>
      </c>
    </row>
    <row r="30" customFormat="false" ht="15" hidden="false" customHeight="false" outlineLevel="0" collapsed="false">
      <c r="A30" s="21" t="s">
        <v>97</v>
      </c>
      <c r="B30" s="22" t="n">
        <v>1.7</v>
      </c>
      <c r="C30" s="23" t="n">
        <v>96.14</v>
      </c>
      <c r="D30" s="8" t="n">
        <v>96.18</v>
      </c>
      <c r="E30" s="27" t="n">
        <v>49</v>
      </c>
      <c r="F30" s="27" t="n">
        <v>1</v>
      </c>
      <c r="G30" s="27" t="n">
        <v>3</v>
      </c>
      <c r="H30" s="29" t="n">
        <f aca="false">IFERROR(E30/(E30+F30)*100,0)</f>
        <v>98</v>
      </c>
      <c r="I30" s="29" t="n">
        <f aca="false">IFERROR(E30/(E30+G30)*100,0)</f>
        <v>94.2307692307692</v>
      </c>
      <c r="J30" s="24" t="n">
        <f aca="false">IFERROR(2*H30*I30/(H30+I30),0)</f>
        <v>96.078431372549</v>
      </c>
    </row>
    <row r="31" customFormat="false" ht="15" hidden="false" customHeight="false" outlineLevel="0" collapsed="false">
      <c r="A31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10"/>
  </cols>
  <sheetData>
    <row r="1" customFormat="false" ht="17.35" hidden="false" customHeight="false" outlineLevel="0" collapsed="false">
      <c r="A1" s="2" t="s">
        <v>99</v>
      </c>
    </row>
    <row r="2" customFormat="false" ht="15" hidden="false" customHeight="false" outlineLevel="0" collapsed="false">
      <c r="A2" s="3" t="s">
        <v>100</v>
      </c>
    </row>
    <row r="4" customFormat="false" ht="30" hidden="false" customHeight="true" outlineLevel="0" collapsed="false">
      <c r="A4" s="14" t="s">
        <v>101</v>
      </c>
      <c r="B4" s="14"/>
      <c r="C4" s="14"/>
      <c r="D4" s="14"/>
      <c r="E4" s="14"/>
    </row>
    <row r="6" customFormat="false" ht="31.5" hidden="false" customHeight="true" outlineLevel="0" collapsed="false">
      <c r="A6" s="6" t="s">
        <v>102</v>
      </c>
      <c r="B6" s="6" t="s">
        <v>103</v>
      </c>
      <c r="C6" s="6" t="s">
        <v>104</v>
      </c>
      <c r="D6" s="6" t="s">
        <v>105</v>
      </c>
    </row>
    <row r="7" customFormat="false" ht="15" hidden="false" customHeight="false" outlineLevel="0" collapsed="false">
      <c r="A7" s="14" t="s">
        <v>106</v>
      </c>
      <c r="B7" s="15" t="n">
        <v>5591</v>
      </c>
      <c r="C7" s="30"/>
      <c r="D7" s="5" t="s">
        <v>17</v>
      </c>
    </row>
    <row r="8" customFormat="false" ht="15" hidden="false" customHeight="false" outlineLevel="0" collapsed="false">
      <c r="A8" s="14" t="s">
        <v>38</v>
      </c>
      <c r="B8" s="31" t="n">
        <f aca="false">'Track B'!C30</f>
        <v>96.14</v>
      </c>
      <c r="C8" s="32"/>
      <c r="D8" s="19" t="str">
        <f aca="false">IF(C8="","",B8-C8)</f>
        <v/>
      </c>
    </row>
    <row r="9" customFormat="false" ht="15" hidden="false" customHeight="false" outlineLevel="0" collapsed="false">
      <c r="A9" s="14" t="s">
        <v>92</v>
      </c>
      <c r="B9" s="31" t="n">
        <f aca="false">'Track B'!D30</f>
        <v>96.18</v>
      </c>
      <c r="C9" s="32"/>
      <c r="D9" s="19" t="str">
        <f aca="false">IF(C9="","",B9-C9)</f>
        <v/>
      </c>
    </row>
    <row r="10" customFormat="false" ht="15" hidden="false" customHeight="false" outlineLevel="0" collapsed="false">
      <c r="A10" s="14" t="s">
        <v>43</v>
      </c>
      <c r="B10" s="31" t="n">
        <f aca="false">'Track B'!J30</f>
        <v>96.078431372549</v>
      </c>
      <c r="C10" s="32"/>
      <c r="D10" s="19" t="str">
        <f aca="false">IF(C10="","",B10-C10)</f>
        <v/>
      </c>
    </row>
    <row r="12" customFormat="false" ht="15" hidden="false" customHeight="false" outlineLevel="0" collapsed="false">
      <c r="A12" s="3" t="s">
        <v>107</v>
      </c>
    </row>
  </sheetData>
  <mergeCells count="1"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108</v>
      </c>
    </row>
    <row r="3" customFormat="false" ht="31.5" hidden="false" customHeight="true" outlineLevel="0" collapsed="false">
      <c r="A3" s="6" t="s">
        <v>109</v>
      </c>
      <c r="B3" s="6" t="s">
        <v>110</v>
      </c>
    </row>
    <row r="4" customFormat="false" ht="48" hidden="false" customHeight="true" outlineLevel="0" collapsed="false">
      <c r="A4" s="14" t="s">
        <v>111</v>
      </c>
      <c r="B4" s="5" t="s">
        <v>112</v>
      </c>
    </row>
    <row r="5" customFormat="false" ht="48" hidden="false" customHeight="true" outlineLevel="0" collapsed="false">
      <c r="A5" s="14" t="s">
        <v>113</v>
      </c>
      <c r="B5" s="5" t="s">
        <v>114</v>
      </c>
    </row>
    <row r="6" customFormat="false" ht="48" hidden="false" customHeight="true" outlineLevel="0" collapsed="false">
      <c r="A6" s="14" t="s">
        <v>115</v>
      </c>
      <c r="B6" s="5" t="s">
        <v>116</v>
      </c>
    </row>
    <row r="7" customFormat="false" ht="48" hidden="false" customHeight="true" outlineLevel="0" collapsed="false">
      <c r="A7" s="14" t="s">
        <v>117</v>
      </c>
      <c r="B7" s="5" t="s">
        <v>118</v>
      </c>
    </row>
    <row r="8" customFormat="false" ht="48" hidden="false" customHeight="true" outlineLevel="0" collapsed="false">
      <c r="A8" s="14" t="s">
        <v>119</v>
      </c>
      <c r="B8" s="5" t="s">
        <v>120</v>
      </c>
    </row>
    <row r="9" customFormat="false" ht="48" hidden="false" customHeight="true" outlineLevel="0" collapsed="false">
      <c r="A9" s="14" t="s">
        <v>121</v>
      </c>
      <c r="B9" s="5" t="s">
        <v>122</v>
      </c>
    </row>
    <row r="10" customFormat="false" ht="48" hidden="false" customHeight="true" outlineLevel="0" collapsed="false">
      <c r="A10" s="14" t="s">
        <v>123</v>
      </c>
      <c r="B10" s="5" t="s">
        <v>124</v>
      </c>
    </row>
    <row r="11" customFormat="false" ht="48" hidden="false" customHeight="true" outlineLevel="0" collapsed="false">
      <c r="A11" s="14" t="s">
        <v>125</v>
      </c>
      <c r="B11" s="5" t="s">
        <v>126</v>
      </c>
    </row>
    <row r="12" customFormat="false" ht="48" hidden="false" customHeight="true" outlineLevel="0" collapsed="false">
      <c r="A12" s="14" t="s">
        <v>127</v>
      </c>
      <c r="B12" s="5" t="s">
        <v>128</v>
      </c>
    </row>
    <row r="13" customFormat="false" ht="48" hidden="false" customHeight="true" outlineLevel="0" collapsed="false">
      <c r="A13" s="14" t="s">
        <v>129</v>
      </c>
      <c r="B13" s="5" t="s">
        <v>130</v>
      </c>
    </row>
    <row r="14" customFormat="false" ht="48" hidden="false" customHeight="true" outlineLevel="0" collapsed="false">
      <c r="A14" s="14" t="s">
        <v>131</v>
      </c>
      <c r="B14" s="5" t="s">
        <v>132</v>
      </c>
    </row>
    <row r="15" customFormat="false" ht="48" hidden="false" customHeight="true" outlineLevel="0" collapsed="false">
      <c r="A15" s="14" t="s">
        <v>133</v>
      </c>
      <c r="B15" s="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2026-09-28T09:11:16Z</dcterms:created>
  <dc:creator>openpyxl</dc:creator>
  <dc:description/>
  <dc:language>en-US</dc:language>
  <cp:lastModifiedBy/>
  <dcterms:modified xsi:type="dcterms:W3CDTF">2026-09-28T15:29:31Z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