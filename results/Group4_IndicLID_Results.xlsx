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ck A" sheetId="2" state="visible" r:id="rId4"/>
    <sheet name="Track B" sheetId="3" state="visible" r:id="rId5"/>
    <sheet name="Track C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Threshold chosen by best accuracy on the validation split only; the published target was never consulted. Scored on the 50,240 rows NOT used for that choice. Approx. 95% CI ±0.35 (binomial).</t>
        </r>
      </text>
    </comment>
    <comment ref="F5" authorId="0">
      <text>
        <r>
          <rPr>
            <sz val="10"/>
            <rFont val="Arial"/>
            <family val="2"/>
          </rPr>
          <t xml:space="preserve">Paper Table 4, IndicLID-FTR (dim-8).</t>
        </r>
      </text>
    </comment>
    <comment ref="F6" authorId="0">
      <text>
        <r>
          <rPr>
            <sz val="10"/>
            <rFont val="Arial"/>
            <family val="2"/>
          </rPr>
          <t xml:space="preserve">Paper Table 4, IndicLID-BERT (unfreeze-layer-1).</t>
        </r>
      </text>
    </comment>
    <comment ref="F7" authorId="0">
      <text>
        <r>
          <rPr>
            <sz val="10"/>
            <rFont val="Arial"/>
            <family val="2"/>
          </rPr>
          <t xml:space="preserve">Paper Table 4, IndicLID (threshold-0.6). This is the assignment target.</t>
        </r>
      </text>
    </comment>
    <comment ref="K5" authorId="0">
      <text>
        <r>
          <rPr>
            <sz val="10"/>
            <rFont val="Arial"/>
            <family val="2"/>
          </rPr>
          <t xml:space="preserve">Paper Table 10, IndicLID-FTR, Oriya row.</t>
        </r>
      </text>
    </comment>
    <comment ref="K6" authorId="0">
      <text>
        <r>
          <rPr>
            <sz val="10"/>
            <rFont val="Arial"/>
            <family val="2"/>
          </rPr>
          <t xml:space="preserve">Paper Table 10, IndicLID-BERT, Oriya row.</t>
        </r>
      </text>
    </comment>
    <comment ref="K7" authorId="0">
      <text>
        <r>
          <rPr>
            <sz val="10"/>
            <rFont val="Arial"/>
            <family val="2"/>
          </rPr>
          <t xml:space="preserve">Paper Table 10, IndicLID (threshold 0.6), Oriya row. Assignment target.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4" authorId="0">
      <text>
        <r>
          <rPr>
            <sz val="10"/>
            <rFont val="Arial"/>
            <family val="2"/>
          </rPr>
          <t xml:space="preserve">Final run's training loss was not captured. An earlier run with the identical configuration logged 0.2279 at step 2,400.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756 = rows with quality 'valid_odia'. 44 'reject' rows excluded by protocol before any model output was viewed.</t>
        </r>
      </text>
    </comment>
    <comment ref="C8" authorId="0">
      <text>
        <r>
          <rPr>
            <sz val="10"/>
            <rFont val="Arial"/>
            <family val="2"/>
          </rPr>
          <t xml:space="preserve">From the final Colab run: 400 of 756 predicted Odia. Verified against predictions_native_odia.jsonl.</t>
        </r>
      </text>
    </comment>
  </commentList>
</comments>
</file>

<file path=xl/sharedStrings.xml><?xml version="1.0" encoding="utf-8"?>
<sst xmlns="http://schemas.openxmlformats.org/spreadsheetml/2006/main" count="251" uniqueCount="190">
  <si>
    <t xml:space="preserve">Group 4 — Romanized / Code-mixed Robustness (Language Identification)</t>
  </si>
  <si>
    <t xml:space="preserve">IndicLID on Bhasha-Abhijnaanam, with native Odia transfer evaluation. All figures from the final run.</t>
  </si>
  <si>
    <t xml:space="preserve">Group No.</t>
  </si>
  <si>
    <t xml:space="preserve">4</t>
  </si>
  <si>
    <t xml:space="preserve">Task</t>
  </si>
  <si>
    <t xml:space="preserve">Romanized / Code-mixed Robustness (Language Identification)</t>
  </si>
  <si>
    <t xml:space="preserve">Target result</t>
  </si>
  <si>
    <t xml:space="preserve">80.40% overall accuracy; 76.44 Odia F1 (IndicLID ensemble, paper Tables 4 and 10)</t>
  </si>
  <si>
    <t xml:space="preserve">Result</t>
  </si>
  <si>
    <t xml:space="preserve">Target</t>
  </si>
  <si>
    <t xml:space="preserve">Achieved</t>
  </si>
  <si>
    <t xml:space="preserve">Δ</t>
  </si>
  <si>
    <t xml:space="preserve">Comparable to target?</t>
  </si>
  <si>
    <t xml:space="preserve">Reproduction — published ensemble @0.6 (paper's threshold), accuracy (%)</t>
  </si>
  <si>
    <t xml:space="preserve">Yes</t>
  </si>
  <si>
    <t xml:space="preserve">Reproduction — published ensemble @0.6, Odia F1 (%)</t>
  </si>
  <si>
    <t xml:space="preserve">Reproduction — threshold re-selected on validation (0.95), accuracy (%)</t>
  </si>
  <si>
    <t xml:space="preserve">Reproduction — threshold re-selected on validation, Odia F1 (%)</t>
  </si>
  <si>
    <t xml:space="preserve">Fine-tuned ensemble, held-out test, accuracy (%)</t>
  </si>
  <si>
    <t xml:space="preserve">—</t>
  </si>
  <si>
    <t xml:space="preserve">No — different experiment</t>
  </si>
  <si>
    <t xml:space="preserve">Fine-tuned ensemble, held-out test, macro F1 (%)</t>
  </si>
  <si>
    <t xml:space="preserve">Fine-tuned ensemble, held-out test, Odia F1 (%)</t>
  </si>
  <si>
    <t xml:space="preserve">Native Odia set, accuracy = Odia recall (%)</t>
  </si>
  <si>
    <t xml:space="preserve">Translationese gap (Track B − Track C)</t>
  </si>
  <si>
    <t xml:space="preserve">Value</t>
  </si>
  <si>
    <t xml:space="preserve">95% CI low</t>
  </si>
  <si>
    <t xml:space="preserve">95% CI high</t>
  </si>
  <si>
    <t xml:space="preserve">Note</t>
  </si>
  <si>
    <t xml:space="preserve">Odia recall, like-for-like (PRIMARY)</t>
  </si>
  <si>
    <t xml:space="preserve">Odia vs Odia</t>
  </si>
  <si>
    <t xml:space="preserve">Accuracy (brief's definition)</t>
  </si>
  <si>
    <t xml:space="preserve">20-language vs Odia-only</t>
  </si>
  <si>
    <t xml:space="preserve">Odia F1</t>
  </si>
  <si>
    <t xml:space="preserve">Native precision trivially 100%</t>
  </si>
  <si>
    <t xml:space="preserve">Sample size</t>
  </si>
  <si>
    <t xml:space="preserve">Train</t>
  </si>
  <si>
    <t xml:space="preserve">Validation</t>
  </si>
  <si>
    <t xml:space="preserve">Test</t>
  </si>
  <si>
    <t xml:space="preserve">Total</t>
  </si>
  <si>
    <t xml:space="preserve">All 20 languages (romanized)</t>
  </si>
  <si>
    <t xml:space="preserve">Odia only</t>
  </si>
  <si>
    <t xml:space="preserve">Train after class balancing</t>
  </si>
  <si>
    <t xml:space="preserve">Native Odia set scored (rejects excluded: 44)</t>
  </si>
  <si>
    <t xml:space="preserve">The benchmark ships as a single test set with no official split. We partitioned it ourselves: stratified by language, seed 42, 80/10/10.</t>
  </si>
  <si>
    <t xml:space="preserve">Track A — Published-model reproduction</t>
  </si>
  <si>
    <t xml:space="preserve">Authors' released models, no training. Full romanized benchmark, n = 55,821 sentences, 20 languages. Odia n = 512.</t>
  </si>
  <si>
    <t xml:space="preserve">#</t>
  </si>
  <si>
    <t xml:space="preserve">Model</t>
  </si>
  <si>
    <t xml:space="preserve">Threshold</t>
  </si>
  <si>
    <t xml:space="preserve">% sent to BERT</t>
  </si>
  <si>
    <t xml:space="preserve">Accuracy (%)</t>
  </si>
  <si>
    <t xml:space="preserve">Paper accuracy (%)</t>
  </si>
  <si>
    <t xml:space="preserve">Δ accuracy</t>
  </si>
  <si>
    <t xml:space="preserve">Odia precision (%)</t>
  </si>
  <si>
    <t xml:space="preserve">Odia recall (%)</t>
  </si>
  <si>
    <t xml:space="preserve">Odia F1 (%)</t>
  </si>
  <si>
    <t xml:space="preserve">Paper Odia F1 (%)</t>
  </si>
  <si>
    <t xml:space="preserve">Δ Odia F1</t>
  </si>
  <si>
    <t xml:space="preserve">A1</t>
  </si>
  <si>
    <t xml:space="preserve">IndicLID-FTR alone</t>
  </si>
  <si>
    <t xml:space="preserve">A2</t>
  </si>
  <si>
    <t xml:space="preserve">IndicLID-BERT alone</t>
  </si>
  <si>
    <t xml:space="preserve">A3</t>
  </si>
  <si>
    <t xml:space="preserve">IndicLID ensemble @0.6 (paper's threshold)</t>
  </si>
  <si>
    <t xml:space="preserve">A4</t>
  </si>
  <si>
    <t xml:space="preserve">IndicLID ensemble, threshold selected on validation</t>
  </si>
  <si>
    <t xml:space="preserve">Odia F1 is computed from the logged precision and recall. Δ = ours minus paper. Rows A3 and A4 are both reported: A3 is the faithful setting, A4 re-selects the threshold on held-out data.</t>
  </si>
  <si>
    <t xml:space="preserve">Threshold sweep — diagnostic only, not used for model selection</t>
  </si>
  <si>
    <t xml:space="preserve">At 0.6, a perfect BERT on every escalated sentence would cap accuracy at 79.89% — the target is unreachable at the paper's threshold with the released binary.</t>
  </si>
  <si>
    <t xml:space="preserve">Paper accuracy, Table 9 (%)</t>
  </si>
  <si>
    <t xml:space="preserve">Track B — Our fine-tuning experiment</t>
  </si>
  <si>
    <t xml:space="preserve">Benchmark partitioned by us (stratified by language, seed 42, 80/10/10). Not comparable to the paper's 80.40 — see Notes.</t>
  </si>
  <si>
    <t xml:space="preserve">1. FastText training runs (selected on validation)</t>
  </si>
  <si>
    <t xml:space="preserve">Train 44,649 → balanced to 78,220 · dim 8 · char n-grams 3–6 · wordNgrams 4 · 30 epochs · softmax loss · 1 thread</t>
  </si>
  <si>
    <t xml:space="preserve">Run</t>
  </si>
  <si>
    <t xml:space="preserve">Seed</t>
  </si>
  <si>
    <t xml:space="preserve">Learning rate</t>
  </si>
  <si>
    <t xml:space="preserve">Valid macro F1 (%)</t>
  </si>
  <si>
    <t xml:space="preserve">Selected</t>
  </si>
  <si>
    <t xml:space="preserve">B1</t>
  </si>
  <si>
    <t xml:space="preserve">0.5 diverged → 0.3</t>
  </si>
  <si>
    <t xml:space="preserve">B2</t>
  </si>
  <si>
    <t xml:space="preserve">0.5</t>
  </si>
  <si>
    <t xml:space="preserve">✓</t>
  </si>
  <si>
    <t xml:space="preserve">B3</t>
  </si>
  <si>
    <t xml:space="preserve">Seed spread</t>
  </si>
  <si>
    <t xml:space="preserve">2. BERT fine-tuning configuration</t>
  </si>
  <si>
    <t xml:space="preserve">Epochs</t>
  </si>
  <si>
    <t xml:space="preserve">Max length</t>
  </si>
  <si>
    <t xml:space="preserve">Batch size</t>
  </si>
  <si>
    <t xml:space="preserve">Training rows</t>
  </si>
  <si>
    <t xml:space="preserve">Total steps</t>
  </si>
  <si>
    <t xml:space="preserve">Trainable params (M)</t>
  </si>
  <si>
    <t xml:space="preserve">Total params (M)</t>
  </si>
  <si>
    <t xml:space="preserve">Final training loss</t>
  </si>
  <si>
    <t xml:space="preserve">2e-5</t>
  </si>
  <si>
    <t xml:space="preserve">Only the final encoder layer, pooler and classifier head were trained (paper's unfreeze-layer-1 setting).</t>
  </si>
  <si>
    <t xml:space="preserve">3. Ensemble threshold selection (validation, n = 5,581)</t>
  </si>
  <si>
    <t xml:space="preserve">0.6</t>
  </si>
  <si>
    <t xml:space="preserve">0.7</t>
  </si>
  <si>
    <t xml:space="preserve">0.8</t>
  </si>
  <si>
    <t xml:space="preserve">0.9</t>
  </si>
  <si>
    <t xml:space="preserve">0.95</t>
  </si>
  <si>
    <t xml:space="preserve">0.99</t>
  </si>
  <si>
    <t xml:space="preserve">all to BERT</t>
  </si>
  <si>
    <t xml:space="preserve">Final run selected 0.9. Per-threshold validation scores were not saved to metrics_all.json — copy them from the Track B cell output in Colab if you want this table filled.</t>
  </si>
  <si>
    <t xml:space="preserve">4. Final results — held-out test (n = 5,591, Odia n = 52)</t>
  </si>
  <si>
    <t xml:space="preserve">Macro F1 (%)</t>
  </si>
  <si>
    <t xml:space="preserve">Odia TP</t>
  </si>
  <si>
    <t xml:space="preserve">Odia FP</t>
  </si>
  <si>
    <t xml:space="preserve">Odia FN</t>
  </si>
  <si>
    <t xml:space="preserve">Fine-tuned FastText alone</t>
  </si>
  <si>
    <t xml:space="preserve">Fine-tuned ensemble @0.9 (reported)</t>
  </si>
  <si>
    <t xml:space="preserve">Odia counts verified from predictions_benchmark_test.jsonl: ensemble 49/3/3 (94.23% precision and recall); FastText alone 50/0/2. One sentence moves Odia F1 ~1–2 points.</t>
  </si>
  <si>
    <t xml:space="preserve">Track C — Native Odia evaluation</t>
  </si>
  <si>
    <t xml:space="preserve">Same saved Track B models, same preprocessing, same validation-selected threshold. The native set is never used to choose anything.</t>
  </si>
  <si>
    <t xml:space="preserve">HOW TO FILL IN: after running the Track C cell in Colab, type its Odia recall into the yellow cell only (e.g. 44.71 for 44.71%). Everything else calculates.</t>
  </si>
  <si>
    <t xml:space="preserve">Metric</t>
  </si>
  <si>
    <t xml:space="preserve">Track B (benchmark test)</t>
  </si>
  <si>
    <t xml:space="preserve">Track C (native Odia)</t>
  </si>
  <si>
    <t xml:space="preserve">Translationese gap (B − C)</t>
  </si>
  <si>
    <t xml:space="preserve">How to read the gap</t>
  </si>
  <si>
    <t xml:space="preserve">Sentences scored</t>
  </si>
  <si>
    <t xml:space="preserve">PRIMARY — like-for-like: Odia recall vs Odia recall</t>
  </si>
  <si>
    <t xml:space="preserve">Brief's definition. B is 20-language accuracy, C is Odia-only — different quantities</t>
  </si>
  <si>
    <t xml:space="preserve">Native precision is trivially 100% (no non-Odia rows), so F1 = 2R/(1+R). Not comparable to benchmark F1</t>
  </si>
  <si>
    <t xml:space="preserve">Every scored row is Odia, so the model cannot make a false positive: accuracy = Odia recall, and macro F1 is undefined (not reported).</t>
  </si>
  <si>
    <t xml:space="preserve">107 of the 756 scored rows are 'mixed' (contain Odia script). The Track B pipeline is roman-only — report the roman and mixed slices separately.</t>
  </si>
  <si>
    <t xml:space="preserve">All 800 rows were labelled by a single annotator — no inter-annotator check.</t>
  </si>
  <si>
    <t xml:space="preserve">Breakdown — final run (n = 756)</t>
  </si>
  <si>
    <t xml:space="preserve">Slice</t>
  </si>
  <si>
    <t xml:space="preserve">Rows</t>
  </si>
  <si>
    <t xml:space="preserve">Predicted Odia</t>
  </si>
  <si>
    <t xml:space="preserve">Reading</t>
  </si>
  <si>
    <t xml:space="preserve">All scored rows</t>
  </si>
  <si>
    <t xml:space="preserve">Romanized</t>
  </si>
  <si>
    <t xml:space="preserve">Mixed script</t>
  </si>
  <si>
    <t xml:space="preserve">Track B model has only seen Latin text</t>
  </si>
  <si>
    <t xml:space="preserve">Under 5 words</t>
  </si>
  <si>
    <t xml:space="preserve">Short inputs are hardest — matches paper Fig. 3</t>
  </si>
  <si>
    <t xml:space="preserve">5–9 words</t>
  </si>
  <si>
    <t xml:space="preserve">10+ words</t>
  </si>
  <si>
    <t xml:space="preserve">Handled by FastText</t>
  </si>
  <si>
    <t xml:space="preserve">Handled by BERT</t>
  </si>
  <si>
    <t xml:space="preserve">Lower because BERT receives the low-confidence, harder rows — a selection effect, not evidence BERT is worse</t>
  </si>
  <si>
    <t xml:space="preserve">Translationese gap with 95% bootstrap confidence intervals</t>
  </si>
  <si>
    <t xml:space="preserve">Gap</t>
  </si>
  <si>
    <t xml:space="preserve">Point estimate</t>
  </si>
  <si>
    <t xml:space="preserve">Source of interval</t>
  </si>
  <si>
    <t xml:space="preserve">Computed from both predictions files, 5,000 resamples</t>
  </si>
  <si>
    <t xml:space="preserve">metrics_all.json, translationese_gap_ci</t>
  </si>
  <si>
    <t xml:space="preserve">No resample of the like-for-like gap came anywhere near zero: the drop is real, not noise, despite the benchmark side resting on only 52 Odia sentences.</t>
  </si>
  <si>
    <t xml:space="preserve">Notes, caveats and sources</t>
  </si>
  <si>
    <t xml:space="preserve">Topic</t>
  </si>
  <si>
    <t xml:space="preserve">Detail</t>
  </si>
  <si>
    <t xml:space="preserve">Why Track B is not compared to 80.40</t>
  </si>
  <si>
    <t xml:space="preserve">The paper trained on machine-transliterated text and tested on human-typed romanization. We trained on 80% of the benchmark and tested on the held-out 10%, so training and test come from the same pool. The paper's own Table 5 shows the same model scoring 95.96% when test data matches its training distribution, versus 80.40% when it does not.</t>
  </si>
  <si>
    <t xml:space="preserve">Why Track A falls short at 0.6</t>
  </si>
  <si>
    <t xml:space="preserve">Only 12% of sentences are escalated to BERT (the paper's Table 9 throughputs imply ~30%). With a perfect BERT the ceiling is 79.89%. Components reproduce within a point (FTR 70.70 vs 71.49; BERT 79.98 vs 80.04), isolating the gap to confidence calibration.</t>
  </si>
  <si>
    <t xml:space="preserve">Calibration cause — unverified</t>
  </si>
  <si>
    <t xml:space="preserve">Consistent with a fasttext library-version difference in confidence computation. Not directly tested: fasttext 0.9.2 does not build on Python 3.12+.</t>
  </si>
  <si>
    <t xml:space="preserve">Ruled out</t>
  </si>
  <si>
    <t xml:space="preserve">FTR binary byte-identical to HuggingFace and GitHub releases; routing condition matches official code (pred_score &gt; 0.6); script gate blocks 1 of 55,821; BERT label mapping verified by probe.</t>
  </si>
  <si>
    <t xml:space="preserve">Label-set asymmetry</t>
  </si>
  <si>
    <t xml:space="preserve">The published model outputs 22 labels (incl. English, Other); ours outputs 20. Published FTR predicts eng/other on 3.88% of sentences — errors ours cannot make.</t>
  </si>
  <si>
    <t xml:space="preserve">Leakage audit</t>
  </si>
  <si>
    <t xml:space="preserve">Zero unique_identifier overlap across splits. 23 of 5,591 test sentences also appear in train — caused by 99 duplicate sentences inside the released dataset, not the split. Oversampling drew from the train split only.</t>
  </si>
  <si>
    <t xml:space="preserve">Not recorded</t>
  </si>
  <si>
    <t xml:space="preserve">Training times; Track B BERT-alone accuracy; the final run's BERT training loss, per-threshold validation scores and Track B escalation rate.</t>
  </si>
  <si>
    <t xml:space="preserve">Colour key</t>
  </si>
  <si>
    <t xml:space="preserve">Blue = typed-in value from our runs or the paper · Black = formula · Green = link to another sheet · Yellow highlight = reported headline result · Bright yellow fill = cell for you to fill in (Track C).</t>
  </si>
  <si>
    <t xml:space="preserve">Source — paper</t>
  </si>
  <si>
    <t xml:space="preserve">Madhani, Khapra &amp; Kunchukuttan (2023). Bhasha-Abhijnaanam: Native-script and Romanized Language Identification for 22 Indic Languages. ACL 2023 (Short). https://aclanthology.org/2023.acl-short.71/ — Tables 4, 5, 9, 10.</t>
  </si>
  <si>
    <t xml:space="preserve">Source — dataset</t>
  </si>
  <si>
    <t xml:space="preserve">https://huggingface.co/datasets/ai4bharat/Bhasha-Abhijnaanam</t>
  </si>
  <si>
    <t xml:space="preserve">Source — models</t>
  </si>
  <si>
    <t xml:space="preserve">https://huggingface.co/ai4bharat/IndicLID-FTR · https://huggingface.co/ai4bharat/IndicLID-BERT</t>
  </si>
  <si>
    <t xml:space="preserve">Source — our values</t>
  </si>
  <si>
    <t xml:space="preserve">All 'Ours' figures are from our Colab runs (indiclid_ensemble_colab_v2.ipynb).</t>
  </si>
  <si>
    <t xml:space="preserve">Final run vs earlier runs</t>
  </si>
  <si>
    <t xml:space="preserve">GPU fine-tuning of BERT is not bit-deterministic. The final run's BERT led validation to select threshold 0.9 (an earlier run selected 0.6 and scored 96.14%). All Track B and C figures here are from the final run — the one that produced Track C — so the gap uses one model throughout.</t>
  </si>
  <si>
    <t xml:space="preserve">Track A CI caveat</t>
  </si>
  <si>
    <t xml:space="preserve">The notebook's 'A ensemble (cal.)' interval was computed for the diagnostic target-matched row on all 55,821 rows, not for the validation-selected row (50,240 rows). Binomial approximation for that row: ±0.35 points.</t>
  </si>
  <si>
    <t xml:space="preserve">Native set macro F1</t>
  </si>
  <si>
    <t xml:space="preserve">Undefined for a one-class set. The notebook's macro-F1 interval for Track C (~4%) is an artefact and must not be reported.</t>
  </si>
  <si>
    <t xml:space="preserve">Track C protocol</t>
  </si>
  <si>
    <t xml:space="preserve">Scored rows: quality == valid_odia (756 of 800); 44 'reject' rows excluded before any model output was viewed. Same saved models, preprocessing and threshold as Track B.</t>
  </si>
  <si>
    <t xml:space="preserve">Verification</t>
  </si>
  <si>
    <t xml:space="preserve">Every Track B and Track C figure was recomputed independently from the uploaded prediction files and matched exactly. The uploaded FastText model reproduces 95.81 valid macro F1 and 95.78 test accuracy, and its test-split IDs match the predictions file.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</si>
</sst>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\+0.00;\-0.00;0.00"/>
    <numFmt numFmtId="167" formatCode="#,##0"/>
    <numFmt numFmtId="168" formatCode="0.0"/>
    <numFmt numFmtId="169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4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  <c r="E6" s="4"/>
    </row>
    <row r="8" customFormat="false" ht="31.5" hidden="false" customHeight="true" outlineLevel="0" collapsed="false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</row>
    <row r="9" customFormat="false" ht="23.85" hidden="false" customHeight="false" outlineLevel="0" collapsed="false">
      <c r="A9" s="6" t="s">
        <v>13</v>
      </c>
      <c r="B9" s="7" t="n">
        <v>80.4</v>
      </c>
      <c r="C9" s="8" t="n">
        <f aca="false">'Track A'!E7</f>
        <v>75.25</v>
      </c>
      <c r="D9" s="9" t="n">
        <f aca="false">C9-B9</f>
        <v>-5.15000000000001</v>
      </c>
      <c r="E9" s="6" t="s">
        <v>14</v>
      </c>
    </row>
    <row r="10" customFormat="false" ht="15" hidden="false" customHeight="false" outlineLevel="0" collapsed="false">
      <c r="A10" s="6" t="s">
        <v>15</v>
      </c>
      <c r="B10" s="7" t="n">
        <v>76.44</v>
      </c>
      <c r="C10" s="8" t="n">
        <f aca="false">'Track A'!J7</f>
        <v>67.7195349149808</v>
      </c>
      <c r="D10" s="9" t="n">
        <f aca="false">C10-B10</f>
        <v>-8.72046508501916</v>
      </c>
      <c r="E10" s="6" t="s">
        <v>14</v>
      </c>
    </row>
    <row r="11" customFormat="false" ht="15" hidden="false" customHeight="false" outlineLevel="0" collapsed="false">
      <c r="A11" s="6" t="s">
        <v>16</v>
      </c>
      <c r="B11" s="7" t="n">
        <v>80.4</v>
      </c>
      <c r="C11" s="8" t="n">
        <f aca="false">'Track A'!E8</f>
        <v>80.4637738853503</v>
      </c>
      <c r="D11" s="9" t="n">
        <f aca="false">C11-B11</f>
        <v>0.0637738853503151</v>
      </c>
      <c r="E11" s="6" t="s">
        <v>14</v>
      </c>
    </row>
    <row r="12" customFormat="false" ht="15" hidden="false" customHeight="false" outlineLevel="0" collapsed="false">
      <c r="A12" s="6" t="s">
        <v>17</v>
      </c>
      <c r="B12" s="7" t="n">
        <v>76.44</v>
      </c>
      <c r="C12" s="8" t="n">
        <f aca="false">'Track A'!J8</f>
        <v>72.258064516129</v>
      </c>
      <c r="D12" s="9" t="n">
        <f aca="false">C12-B12</f>
        <v>-4.18193548387097</v>
      </c>
      <c r="E12" s="6" t="s">
        <v>14</v>
      </c>
    </row>
    <row r="13" customFormat="false" ht="15" hidden="false" customHeight="false" outlineLevel="0" collapsed="false">
      <c r="A13" s="4" t="s">
        <v>18</v>
      </c>
      <c r="B13" s="4" t="s">
        <v>19</v>
      </c>
      <c r="C13" s="10" t="n">
        <f aca="false">'Track B'!C30</f>
        <v>96.0293328563763</v>
      </c>
      <c r="D13" s="4" t="s">
        <v>19</v>
      </c>
      <c r="E13" s="4" t="s">
        <v>20</v>
      </c>
    </row>
    <row r="14" customFormat="false" ht="15" hidden="false" customHeight="false" outlineLevel="0" collapsed="false">
      <c r="A14" s="4" t="s">
        <v>21</v>
      </c>
      <c r="B14" s="4" t="s">
        <v>19</v>
      </c>
      <c r="C14" s="10" t="n">
        <f aca="false">'Track B'!D30</f>
        <v>96.3853807431592</v>
      </c>
      <c r="D14" s="4" t="s">
        <v>19</v>
      </c>
      <c r="E14" s="4" t="s">
        <v>20</v>
      </c>
    </row>
    <row r="15" customFormat="false" ht="15" hidden="false" customHeight="false" outlineLevel="0" collapsed="false">
      <c r="A15" s="4" t="s">
        <v>22</v>
      </c>
      <c r="B15" s="4" t="s">
        <v>19</v>
      </c>
      <c r="C15" s="10" t="n">
        <f aca="false">'Track B'!J30</f>
        <v>94.2307692307692</v>
      </c>
      <c r="D15" s="4" t="s">
        <v>19</v>
      </c>
      <c r="E15" s="4" t="s">
        <v>20</v>
      </c>
    </row>
    <row r="16" customFormat="false" ht="15" hidden="false" customHeight="false" outlineLevel="0" collapsed="false">
      <c r="A16" s="4" t="s">
        <v>23</v>
      </c>
      <c r="B16" s="4" t="s">
        <v>19</v>
      </c>
      <c r="C16" s="10" t="n">
        <f aca="false">'Track C'!C8</f>
        <v>52.9100529100529</v>
      </c>
      <c r="D16" s="4" t="s">
        <v>19</v>
      </c>
      <c r="E16" s="4" t="s">
        <v>19</v>
      </c>
    </row>
    <row r="18" customFormat="false" ht="31.5" hidden="false" customHeight="true" outlineLevel="0" collapsed="false">
      <c r="A18" s="5" t="s">
        <v>24</v>
      </c>
      <c r="B18" s="5" t="s">
        <v>25</v>
      </c>
      <c r="C18" s="5" t="s">
        <v>26</v>
      </c>
      <c r="D18" s="5" t="s">
        <v>27</v>
      </c>
      <c r="E18" s="5" t="s">
        <v>28</v>
      </c>
    </row>
    <row r="19" customFormat="false" ht="15" hidden="false" customHeight="false" outlineLevel="0" collapsed="false">
      <c r="A19" s="11" t="s">
        <v>29</v>
      </c>
      <c r="B19" s="12" t="n">
        <f aca="false">'Track C'!D8</f>
        <v>41.3207163207163</v>
      </c>
      <c r="C19" s="13" t="n">
        <f aca="false">'Track C'!C30</f>
        <v>33.36</v>
      </c>
      <c r="D19" s="13" t="n">
        <f aca="false">'Track C'!D30</f>
        <v>47.81</v>
      </c>
      <c r="E19" s="6" t="s">
        <v>30</v>
      </c>
    </row>
    <row r="20" customFormat="false" ht="15" hidden="false" customHeight="false" outlineLevel="0" collapsed="false">
      <c r="A20" s="4" t="s">
        <v>31</v>
      </c>
      <c r="B20" s="14" t="n">
        <f aca="false">'Track C'!D9</f>
        <v>43.1192799463234</v>
      </c>
      <c r="C20" s="15" t="n">
        <f aca="false">'Track C'!C31</f>
        <v>39.55</v>
      </c>
      <c r="D20" s="15" t="n">
        <f aca="false">'Track C'!D31</f>
        <v>46.74</v>
      </c>
      <c r="E20" s="4" t="s">
        <v>32</v>
      </c>
    </row>
    <row r="21" customFormat="false" ht="15" hidden="false" customHeight="false" outlineLevel="0" collapsed="false">
      <c r="A21" s="4" t="s">
        <v>33</v>
      </c>
      <c r="B21" s="14" t="n">
        <f aca="false">'Track C'!D10</f>
        <v>25.0266169816343</v>
      </c>
      <c r="C21" s="15" t="n">
        <f aca="false">'Track C'!C32</f>
        <v>19.23</v>
      </c>
      <c r="D21" s="15" t="n">
        <f aca="false">'Track C'!D32</f>
        <v>30.01</v>
      </c>
      <c r="E21" s="4" t="s">
        <v>34</v>
      </c>
    </row>
    <row r="23" customFormat="false" ht="31.5" hidden="false" customHeight="true" outlineLevel="0" collapsed="false">
      <c r="A23" s="5" t="s">
        <v>35</v>
      </c>
      <c r="B23" s="5" t="s">
        <v>36</v>
      </c>
      <c r="C23" s="5" t="s">
        <v>37</v>
      </c>
      <c r="D23" s="5" t="s">
        <v>38</v>
      </c>
      <c r="E23" s="5" t="s">
        <v>39</v>
      </c>
    </row>
    <row r="24" customFormat="false" ht="15" hidden="false" customHeight="false" outlineLevel="0" collapsed="false">
      <c r="A24" s="16" t="s">
        <v>40</v>
      </c>
      <c r="B24" s="17" t="n">
        <v>44649</v>
      </c>
      <c r="C24" s="17" t="n">
        <v>5581</v>
      </c>
      <c r="D24" s="17" t="n">
        <v>5591</v>
      </c>
      <c r="E24" s="18" t="n">
        <f aca="false">SUM(B24:D24)</f>
        <v>55821</v>
      </c>
    </row>
    <row r="25" customFormat="false" ht="15" hidden="false" customHeight="false" outlineLevel="0" collapsed="false">
      <c r="A25" s="16" t="s">
        <v>41</v>
      </c>
      <c r="B25" s="17" t="n">
        <v>409</v>
      </c>
      <c r="C25" s="17" t="n">
        <v>51</v>
      </c>
      <c r="D25" s="17" t="n">
        <v>52</v>
      </c>
      <c r="E25" s="18" t="n">
        <f aca="false">SUM(B25:D25)</f>
        <v>512</v>
      </c>
    </row>
    <row r="26" customFormat="false" ht="15" hidden="false" customHeight="false" outlineLevel="0" collapsed="false">
      <c r="A26" s="16" t="s">
        <v>42</v>
      </c>
      <c r="B26" s="17" t="n">
        <v>78220</v>
      </c>
    </row>
    <row r="27" customFormat="false" ht="15" hidden="false" customHeight="false" outlineLevel="0" collapsed="false">
      <c r="A27" s="16" t="s">
        <v>43</v>
      </c>
      <c r="D27" s="17" t="n">
        <v>756</v>
      </c>
    </row>
    <row r="28" customFormat="false" ht="15" hidden="false" customHeight="false" outlineLevel="0" collapsed="false">
      <c r="A28" s="2" t="s">
        <v>44</v>
      </c>
    </row>
  </sheetData>
  <mergeCells count="3">
    <mergeCell ref="B4:E4"/>
    <mergeCell ref="B5:E5"/>
    <mergeCell ref="B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7"/>
    <col collapsed="false" customWidth="true" hidden="false" outlineLevel="0" max="2" min="2" style="19" width="30"/>
    <col collapsed="false" customWidth="true" hidden="false" outlineLevel="0" max="3" min="3" style="19" width="11"/>
    <col collapsed="false" customWidth="true" hidden="false" outlineLevel="0" max="5" min="4" style="19" width="13"/>
    <col collapsed="false" customWidth="true" hidden="false" outlineLevel="0" max="6" min="6" style="19" width="16"/>
    <col collapsed="false" customWidth="true" hidden="false" outlineLevel="0" max="7" min="7" style="19" width="11"/>
    <col collapsed="false" customWidth="true" hidden="false" outlineLevel="0" max="8" min="8" style="19" width="14"/>
    <col collapsed="false" customWidth="true" hidden="false" outlineLevel="0" max="10" min="9" style="19" width="12"/>
    <col collapsed="false" customWidth="true" hidden="false" outlineLevel="0" max="11" min="11" style="19" width="14"/>
    <col collapsed="false" customWidth="true" hidden="false" outlineLevel="0" max="12" min="12" style="19" width="11"/>
  </cols>
  <sheetData>
    <row r="1" customFormat="false" ht="17.25" hidden="false" customHeight="true" outlineLevel="0" collapsed="false">
      <c r="A1" s="20" t="s">
        <v>45</v>
      </c>
    </row>
    <row r="2" customFormat="false" ht="15" hidden="false" customHeight="true" outlineLevel="0" collapsed="false">
      <c r="A2" s="21" t="s">
        <v>46</v>
      </c>
    </row>
    <row r="4" customFormat="false" ht="31.5" hidden="false" customHeight="true" outlineLevel="0" collapsed="false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57</v>
      </c>
      <c r="L4" s="5" t="s">
        <v>58</v>
      </c>
    </row>
    <row r="5" customFormat="false" ht="15" hidden="false" customHeight="true" outlineLevel="0" collapsed="false">
      <c r="A5" s="16" t="s">
        <v>59</v>
      </c>
      <c r="B5" s="4" t="s">
        <v>60</v>
      </c>
      <c r="C5" s="22" t="s">
        <v>19</v>
      </c>
      <c r="D5" s="22" t="n">
        <v>0</v>
      </c>
      <c r="E5" s="23" t="n">
        <v>70.7</v>
      </c>
      <c r="F5" s="23" t="n">
        <v>71.49</v>
      </c>
      <c r="G5" s="24" t="n">
        <f aca="false">E5-F5</f>
        <v>-0.789999999999992</v>
      </c>
      <c r="H5" s="23" t="n">
        <v>46.3</v>
      </c>
      <c r="I5" s="23" t="n">
        <v>96.48</v>
      </c>
      <c r="J5" s="25" t="n">
        <f aca="false">2*H5*I5/(H5+I5)</f>
        <v>62.5721249474716</v>
      </c>
      <c r="K5" s="23" t="n">
        <v>58.26</v>
      </c>
      <c r="L5" s="24" t="n">
        <f aca="false">J5-K5</f>
        <v>4.31212494747164</v>
      </c>
    </row>
    <row r="6" customFormat="false" ht="15" hidden="false" customHeight="true" outlineLevel="0" collapsed="false">
      <c r="A6" s="16" t="s">
        <v>61</v>
      </c>
      <c r="B6" s="4" t="s">
        <v>62</v>
      </c>
      <c r="C6" s="22" t="s">
        <v>19</v>
      </c>
      <c r="D6" s="22" t="n">
        <v>100</v>
      </c>
      <c r="E6" s="23" t="n">
        <v>79.98</v>
      </c>
      <c r="F6" s="23" t="n">
        <v>80.04</v>
      </c>
      <c r="G6" s="24" t="n">
        <f aca="false">E6-F6</f>
        <v>-0.0600000000000023</v>
      </c>
      <c r="H6" s="23" t="n">
        <v>57.44</v>
      </c>
      <c r="I6" s="23" t="n">
        <v>95.7</v>
      </c>
      <c r="J6" s="25" t="n">
        <f aca="false">2*H6*I6/(H6+I6)</f>
        <v>71.7906229593836</v>
      </c>
      <c r="K6" s="23" t="n">
        <v>76.71</v>
      </c>
      <c r="L6" s="24" t="n">
        <f aca="false">J6-K6</f>
        <v>-4.91937704061643</v>
      </c>
    </row>
    <row r="7" customFormat="false" ht="15" hidden="false" customHeight="true" outlineLevel="0" collapsed="false">
      <c r="A7" s="11" t="s">
        <v>63</v>
      </c>
      <c r="B7" s="11" t="s">
        <v>64</v>
      </c>
      <c r="C7" s="26" t="n">
        <v>0.6</v>
      </c>
      <c r="D7" s="26" t="n">
        <v>12</v>
      </c>
      <c r="E7" s="27" t="n">
        <v>75.25</v>
      </c>
      <c r="F7" s="7" t="n">
        <v>80.4</v>
      </c>
      <c r="G7" s="9" t="n">
        <f aca="false">E7-F7</f>
        <v>-5.15000000000001</v>
      </c>
      <c r="H7" s="7" t="n">
        <v>52.11</v>
      </c>
      <c r="I7" s="7" t="n">
        <v>96.68</v>
      </c>
      <c r="J7" s="28" t="n">
        <f aca="false">2*H7*I7/(H7+I7)</f>
        <v>67.7195349149808</v>
      </c>
      <c r="K7" s="7" t="n">
        <v>76.44</v>
      </c>
      <c r="L7" s="9" t="n">
        <f aca="false">J7-K7</f>
        <v>-8.72046508501916</v>
      </c>
    </row>
    <row r="8" customFormat="false" ht="15" hidden="false" customHeight="true" outlineLevel="0" collapsed="false">
      <c r="A8" s="11" t="s">
        <v>65</v>
      </c>
      <c r="B8" s="11" t="s">
        <v>66</v>
      </c>
      <c r="C8" s="7" t="n">
        <v>0.95</v>
      </c>
      <c r="D8" s="6" t="s">
        <v>19</v>
      </c>
      <c r="E8" s="27" t="n">
        <v>80.4637738853503</v>
      </c>
      <c r="F8" s="7" t="n">
        <v>80.4</v>
      </c>
      <c r="G8" s="9" t="n">
        <f aca="false">E8-F8</f>
        <v>0.0637738853503151</v>
      </c>
      <c r="H8" s="7" t="n">
        <v>57.5096277278562</v>
      </c>
      <c r="I8" s="7" t="n">
        <v>97.1800433839479</v>
      </c>
      <c r="J8" s="28" t="n">
        <f aca="false">2*H8*I8/(H8+I8)</f>
        <v>72.258064516129</v>
      </c>
      <c r="K8" s="7" t="n">
        <v>76.44</v>
      </c>
      <c r="L8" s="9" t="n">
        <f aca="false">J8-K8</f>
        <v>-4.18193548387097</v>
      </c>
    </row>
    <row r="9" customFormat="false" ht="15" hidden="false" customHeight="false" outlineLevel="0" collapsed="false">
      <c r="A9" s="21" t="s">
        <v>67</v>
      </c>
    </row>
    <row r="10" customFormat="false" ht="15" hidden="false" customHeight="true" outlineLevel="0" collapsed="false">
      <c r="A10" s="29" t="s">
        <v>68</v>
      </c>
    </row>
    <row r="11" customFormat="false" ht="15" hidden="false" customHeight="true" outlineLevel="0" collapsed="false">
      <c r="A11" s="21" t="s">
        <v>69</v>
      </c>
    </row>
    <row r="12" customFormat="false" ht="31.5" hidden="false" customHeight="true" outlineLevel="0" collapsed="false">
      <c r="A12" s="5" t="s">
        <v>49</v>
      </c>
      <c r="B12" s="5" t="s">
        <v>50</v>
      </c>
      <c r="C12" s="5" t="s">
        <v>51</v>
      </c>
      <c r="D12" s="5" t="s">
        <v>70</v>
      </c>
      <c r="E12" s="5" t="s">
        <v>53</v>
      </c>
      <c r="F12" s="5" t="s">
        <v>56</v>
      </c>
    </row>
    <row r="13" customFormat="false" ht="15" hidden="false" customHeight="true" outlineLevel="0" collapsed="false">
      <c r="A13" s="22" t="n">
        <v>0.1</v>
      </c>
      <c r="B13" s="22" t="n">
        <v>0</v>
      </c>
      <c r="C13" s="23" t="n">
        <v>70.7</v>
      </c>
      <c r="D13" s="23" t="n">
        <v>71.49</v>
      </c>
      <c r="E13" s="24" t="n">
        <f aca="false">C13-D13</f>
        <v>-0.789999999999992</v>
      </c>
      <c r="F13" s="23" t="n">
        <v>62.57</v>
      </c>
    </row>
    <row r="14" customFormat="false" ht="15" hidden="false" customHeight="true" outlineLevel="0" collapsed="false">
      <c r="A14" s="22" t="n">
        <v>0.2</v>
      </c>
      <c r="B14" s="22" t="n">
        <v>0</v>
      </c>
      <c r="C14" s="23" t="n">
        <v>70.7</v>
      </c>
      <c r="D14" s="23" t="n">
        <v>71.77</v>
      </c>
      <c r="E14" s="24" t="n">
        <f aca="false">C14-D14</f>
        <v>-1.06999999999999</v>
      </c>
      <c r="F14" s="23" t="n">
        <v>62.57</v>
      </c>
    </row>
    <row r="15" customFormat="false" ht="15" hidden="false" customHeight="true" outlineLevel="0" collapsed="false">
      <c r="A15" s="22" t="n">
        <v>0.3</v>
      </c>
      <c r="B15" s="22" t="n">
        <v>0.3</v>
      </c>
      <c r="C15" s="23" t="n">
        <v>70.83</v>
      </c>
      <c r="D15" s="23" t="n">
        <v>73.84</v>
      </c>
      <c r="E15" s="24" t="n">
        <f aca="false">C15-D15</f>
        <v>-3.01000000000001</v>
      </c>
      <c r="F15" s="23" t="n">
        <v>62.73</v>
      </c>
    </row>
    <row r="16" customFormat="false" ht="15" hidden="false" customHeight="true" outlineLevel="0" collapsed="false">
      <c r="A16" s="22" t="n">
        <v>0.4</v>
      </c>
      <c r="B16" s="22" t="n">
        <v>2.2</v>
      </c>
      <c r="C16" s="23" t="n">
        <v>71.68</v>
      </c>
      <c r="D16" s="23" t="n">
        <v>76.84</v>
      </c>
      <c r="E16" s="24" t="n">
        <f aca="false">C16-D16</f>
        <v>-5.16</v>
      </c>
      <c r="F16" s="23" t="n">
        <v>63.62</v>
      </c>
    </row>
    <row r="17" customFormat="false" ht="15" hidden="false" customHeight="true" outlineLevel="0" collapsed="false">
      <c r="A17" s="22" t="n">
        <v>0.5</v>
      </c>
      <c r="B17" s="22" t="n">
        <v>6.1</v>
      </c>
      <c r="C17" s="23" t="n">
        <v>73.28</v>
      </c>
      <c r="D17" s="23" t="n">
        <v>79.15</v>
      </c>
      <c r="E17" s="24" t="n">
        <f aca="false">C17-D17</f>
        <v>-5.87</v>
      </c>
      <c r="F17" s="23" t="n">
        <v>64.44</v>
      </c>
    </row>
    <row r="18" customFormat="false" ht="15" hidden="false" customHeight="true" outlineLevel="0" collapsed="false">
      <c r="A18" s="26" t="n">
        <v>0.6</v>
      </c>
      <c r="B18" s="26" t="n">
        <v>12</v>
      </c>
      <c r="C18" s="7" t="n">
        <v>75.25</v>
      </c>
      <c r="D18" s="7" t="n">
        <v>80.4</v>
      </c>
      <c r="E18" s="9" t="n">
        <f aca="false">C18-D18</f>
        <v>-5.15000000000001</v>
      </c>
      <c r="F18" s="7" t="n">
        <v>67.72</v>
      </c>
    </row>
    <row r="19" customFormat="false" ht="15" hidden="false" customHeight="true" outlineLevel="0" collapsed="false">
      <c r="A19" s="22" t="n">
        <v>0.7</v>
      </c>
      <c r="B19" s="22" t="n">
        <v>18</v>
      </c>
      <c r="C19" s="23" t="n">
        <v>77.09</v>
      </c>
      <c r="D19" s="23" t="n">
        <v>80.93</v>
      </c>
      <c r="E19" s="24" t="n">
        <f aca="false">C19-D19</f>
        <v>-3.84</v>
      </c>
      <c r="F19" s="23" t="n">
        <v>69.08</v>
      </c>
    </row>
    <row r="20" customFormat="false" ht="15" hidden="false" customHeight="true" outlineLevel="0" collapsed="false">
      <c r="A20" s="22" t="n">
        <v>0.8</v>
      </c>
      <c r="B20" s="22" t="n">
        <v>24.1</v>
      </c>
      <c r="C20" s="23" t="n">
        <v>78.47</v>
      </c>
      <c r="D20" s="23" t="n">
        <v>80.96</v>
      </c>
      <c r="E20" s="24" t="n">
        <f aca="false">C20-D20</f>
        <v>-2.49</v>
      </c>
      <c r="F20" s="23" t="n">
        <v>69.9</v>
      </c>
    </row>
    <row r="21" customFormat="false" ht="15" hidden="false" customHeight="true" outlineLevel="0" collapsed="false">
      <c r="A21" s="22" t="n">
        <v>0.9</v>
      </c>
      <c r="B21" s="22" t="n">
        <v>32</v>
      </c>
      <c r="C21" s="23" t="n">
        <v>79.89</v>
      </c>
      <c r="D21" s="23" t="n">
        <v>80.62</v>
      </c>
      <c r="E21" s="24" t="n">
        <f aca="false">C21-D21</f>
        <v>-0.730000000000004</v>
      </c>
      <c r="F21" s="23" t="n">
        <v>71.89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0"/>
    <col collapsed="false" customWidth="true" hidden="false" outlineLevel="0" max="2" min="2" style="19" width="13"/>
    <col collapsed="false" customWidth="true" hidden="false" outlineLevel="0" max="4" min="3" style="19" width="16"/>
    <col collapsed="false" customWidth="true" hidden="false" outlineLevel="0" max="5" min="5" style="19" width="13"/>
    <col collapsed="false" customWidth="true" hidden="false" outlineLevel="0" max="6" min="6" style="19" width="12"/>
    <col collapsed="false" customWidth="true" hidden="false" outlineLevel="0" max="7" min="7" style="19" width="18"/>
    <col collapsed="false" customWidth="true" hidden="false" outlineLevel="0" max="9" min="8" style="19" width="16"/>
    <col collapsed="false" customWidth="true" hidden="false" outlineLevel="0" max="10" min="10" style="19" width="12"/>
  </cols>
  <sheetData>
    <row r="1" customFormat="false" ht="17.25" hidden="false" customHeight="true" outlineLevel="0" collapsed="false">
      <c r="A1" s="20" t="s">
        <v>71</v>
      </c>
    </row>
    <row r="2" customFormat="false" ht="15" hidden="false" customHeight="true" outlineLevel="0" collapsed="false">
      <c r="A2" s="21" t="s">
        <v>72</v>
      </c>
    </row>
    <row r="4" customFormat="false" ht="15" hidden="false" customHeight="true" outlineLevel="0" collapsed="false">
      <c r="A4" s="29" t="s">
        <v>73</v>
      </c>
    </row>
    <row r="5" customFormat="false" ht="15" hidden="false" customHeight="true" outlineLevel="0" collapsed="false">
      <c r="A5" s="21" t="s">
        <v>74</v>
      </c>
    </row>
    <row r="6" customFormat="false" ht="31.5" hidden="false" customHeight="true" outlineLevel="0" collapsed="false">
      <c r="A6" s="5" t="s">
        <v>75</v>
      </c>
      <c r="B6" s="5" t="s">
        <v>76</v>
      </c>
      <c r="C6" s="5" t="s">
        <v>77</v>
      </c>
      <c r="D6" s="5" t="s">
        <v>78</v>
      </c>
      <c r="E6" s="5" t="s">
        <v>79</v>
      </c>
    </row>
    <row r="7" customFormat="false" ht="15" hidden="false" customHeight="true" outlineLevel="0" collapsed="false">
      <c r="A7" s="16" t="s">
        <v>80</v>
      </c>
      <c r="B7" s="30" t="n">
        <v>42</v>
      </c>
      <c r="C7" s="4" t="s">
        <v>81</v>
      </c>
      <c r="D7" s="23" t="n">
        <v>95.8</v>
      </c>
      <c r="E7" s="4"/>
    </row>
    <row r="8" customFormat="false" ht="15" hidden="false" customHeight="true" outlineLevel="0" collapsed="false">
      <c r="A8" s="11" t="s">
        <v>82</v>
      </c>
      <c r="B8" s="31" t="n">
        <v>7</v>
      </c>
      <c r="C8" s="6" t="s">
        <v>83</v>
      </c>
      <c r="D8" s="7" t="n">
        <v>95.81</v>
      </c>
      <c r="E8" s="6" t="s">
        <v>84</v>
      </c>
    </row>
    <row r="9" customFormat="false" ht="15" hidden="false" customHeight="true" outlineLevel="0" collapsed="false">
      <c r="A9" s="16" t="s">
        <v>85</v>
      </c>
      <c r="B9" s="30" t="n">
        <v>1</v>
      </c>
      <c r="C9" s="4" t="s">
        <v>83</v>
      </c>
      <c r="D9" s="23" t="n">
        <v>95.73</v>
      </c>
      <c r="E9" s="4"/>
    </row>
    <row r="10" customFormat="false" ht="15" hidden="false" customHeight="true" outlineLevel="0" collapsed="false">
      <c r="C10" s="16" t="s">
        <v>86</v>
      </c>
      <c r="D10" s="25" t="n">
        <f aca="false">MAX(D7:D9)-MIN(D7:D9)</f>
        <v>0.0799999999999983</v>
      </c>
    </row>
    <row r="12" customFormat="false" ht="15" hidden="false" customHeight="true" outlineLevel="0" collapsed="false">
      <c r="A12" s="29" t="s">
        <v>87</v>
      </c>
    </row>
    <row r="13" customFormat="false" ht="31.5" hidden="false" customHeight="true" outlineLevel="0" collapsed="false">
      <c r="A13" s="5" t="s">
        <v>88</v>
      </c>
      <c r="B13" s="5" t="s">
        <v>89</v>
      </c>
      <c r="C13" s="5" t="s">
        <v>77</v>
      </c>
      <c r="D13" s="5" t="s">
        <v>90</v>
      </c>
      <c r="E13" s="5" t="s">
        <v>91</v>
      </c>
      <c r="F13" s="5" t="s">
        <v>92</v>
      </c>
      <c r="G13" s="5" t="s">
        <v>93</v>
      </c>
      <c r="H13" s="5" t="s">
        <v>94</v>
      </c>
      <c r="I13" s="5" t="s">
        <v>95</v>
      </c>
    </row>
    <row r="14" customFormat="false" ht="15" hidden="false" customHeight="true" outlineLevel="0" collapsed="false">
      <c r="A14" s="30" t="n">
        <v>1</v>
      </c>
      <c r="B14" s="30" t="n">
        <v>128</v>
      </c>
      <c r="C14" s="4" t="s">
        <v>96</v>
      </c>
      <c r="D14" s="30" t="n">
        <v>32</v>
      </c>
      <c r="E14" s="17" t="n">
        <v>78220</v>
      </c>
      <c r="F14" s="18" t="n">
        <f aca="false">ROUNDUP(E14/D14,0)*A14</f>
        <v>2445</v>
      </c>
      <c r="G14" s="22" t="n">
        <v>7.7</v>
      </c>
      <c r="H14" s="22" t="n">
        <v>278.1</v>
      </c>
      <c r="I14" s="32" t="s">
        <v>19</v>
      </c>
    </row>
    <row r="15" customFormat="false" ht="15" hidden="false" customHeight="true" outlineLevel="0" collapsed="false">
      <c r="A15" s="21" t="s">
        <v>97</v>
      </c>
    </row>
    <row r="17" customFormat="false" ht="15" hidden="false" customHeight="true" outlineLevel="0" collapsed="false">
      <c r="A17" s="29" t="s">
        <v>98</v>
      </c>
    </row>
    <row r="18" customFormat="false" ht="31.5" hidden="false" customHeight="true" outlineLevel="0" collapsed="false">
      <c r="A18" s="5" t="s">
        <v>49</v>
      </c>
      <c r="B18" s="5" t="s">
        <v>50</v>
      </c>
      <c r="C18" s="5" t="s">
        <v>78</v>
      </c>
      <c r="D18" s="5" t="s">
        <v>79</v>
      </c>
    </row>
    <row r="19" customFormat="false" ht="15" hidden="false" customHeight="true" outlineLevel="0" collapsed="false">
      <c r="A19" s="6" t="s">
        <v>99</v>
      </c>
      <c r="B19" s="33" t="s">
        <v>19</v>
      </c>
      <c r="C19" s="34" t="s">
        <v>19</v>
      </c>
      <c r="D19" s="6"/>
    </row>
    <row r="20" customFormat="false" ht="15" hidden="false" customHeight="true" outlineLevel="0" collapsed="false">
      <c r="A20" s="4" t="s">
        <v>100</v>
      </c>
      <c r="B20" s="35" t="s">
        <v>19</v>
      </c>
      <c r="C20" s="36" t="s">
        <v>19</v>
      </c>
      <c r="D20" s="4"/>
    </row>
    <row r="21" customFormat="false" ht="15" hidden="false" customHeight="true" outlineLevel="0" collapsed="false">
      <c r="A21" s="4" t="s">
        <v>101</v>
      </c>
      <c r="B21" s="35" t="s">
        <v>19</v>
      </c>
      <c r="C21" s="36" t="s">
        <v>19</v>
      </c>
      <c r="D21" s="4"/>
    </row>
    <row r="22" customFormat="false" ht="15" hidden="false" customHeight="true" outlineLevel="0" collapsed="false">
      <c r="A22" s="6" t="s">
        <v>102</v>
      </c>
      <c r="B22" s="33" t="s">
        <v>19</v>
      </c>
      <c r="C22" s="34" t="s">
        <v>19</v>
      </c>
      <c r="D22" s="6" t="s">
        <v>84</v>
      </c>
    </row>
    <row r="23" customFormat="false" ht="15" hidden="false" customHeight="true" outlineLevel="0" collapsed="false">
      <c r="A23" s="4" t="s">
        <v>103</v>
      </c>
      <c r="B23" s="35" t="s">
        <v>19</v>
      </c>
      <c r="C23" s="36" t="s">
        <v>19</v>
      </c>
      <c r="D23" s="4"/>
    </row>
    <row r="24" customFormat="false" ht="15" hidden="false" customHeight="true" outlineLevel="0" collapsed="false">
      <c r="A24" s="4" t="s">
        <v>104</v>
      </c>
      <c r="B24" s="35" t="s">
        <v>19</v>
      </c>
      <c r="C24" s="36" t="s">
        <v>19</v>
      </c>
      <c r="D24" s="4"/>
    </row>
    <row r="25" customFormat="false" ht="15" hidden="false" customHeight="true" outlineLevel="0" collapsed="false">
      <c r="A25" s="4" t="s">
        <v>105</v>
      </c>
      <c r="B25" s="35" t="s">
        <v>19</v>
      </c>
      <c r="C25" s="36" t="s">
        <v>19</v>
      </c>
      <c r="D25" s="4"/>
    </row>
    <row r="26" customFormat="false" ht="15" hidden="false" customHeight="false" outlineLevel="0" collapsed="false">
      <c r="A26" s="2" t="s">
        <v>106</v>
      </c>
    </row>
    <row r="27" customFormat="false" ht="15" hidden="false" customHeight="true" outlineLevel="0" collapsed="false">
      <c r="A27" s="29" t="s">
        <v>107</v>
      </c>
    </row>
    <row r="28" customFormat="false" ht="31.5" hidden="false" customHeight="true" outlineLevel="0" collapsed="false">
      <c r="A28" s="5" t="s">
        <v>48</v>
      </c>
      <c r="B28" s="5" t="s">
        <v>50</v>
      </c>
      <c r="C28" s="5" t="s">
        <v>51</v>
      </c>
      <c r="D28" s="5" t="s">
        <v>108</v>
      </c>
      <c r="E28" s="5" t="s">
        <v>109</v>
      </c>
      <c r="F28" s="5" t="s">
        <v>110</v>
      </c>
      <c r="G28" s="5" t="s">
        <v>111</v>
      </c>
      <c r="H28" s="5" t="s">
        <v>54</v>
      </c>
      <c r="I28" s="5" t="s">
        <v>55</v>
      </c>
      <c r="J28" s="5" t="s">
        <v>56</v>
      </c>
    </row>
    <row r="29" customFormat="false" ht="15" hidden="false" customHeight="true" outlineLevel="0" collapsed="false">
      <c r="A29" s="4" t="s">
        <v>112</v>
      </c>
      <c r="B29" s="22" t="n">
        <v>0</v>
      </c>
      <c r="C29" s="23" t="n">
        <v>95.78</v>
      </c>
      <c r="D29" s="23" t="n">
        <v>95.74</v>
      </c>
      <c r="E29" s="30" t="n">
        <v>50</v>
      </c>
      <c r="F29" s="30" t="n">
        <v>0</v>
      </c>
      <c r="G29" s="30" t="n">
        <v>2</v>
      </c>
      <c r="H29" s="25" t="n">
        <f aca="false">IFERROR(E29/(E29+F29)*100,0)</f>
        <v>100</v>
      </c>
      <c r="I29" s="25" t="n">
        <f aca="false">IFERROR(E29/(E29+G29)*100,0)</f>
        <v>96.1538461538462</v>
      </c>
      <c r="J29" s="25" t="n">
        <f aca="false">IFERROR(2*H29*I29/(H29+I29),0)</f>
        <v>98.0392156862745</v>
      </c>
    </row>
    <row r="30" customFormat="false" ht="15" hidden="false" customHeight="true" outlineLevel="0" collapsed="false">
      <c r="A30" s="11" t="s">
        <v>113</v>
      </c>
      <c r="B30" s="33" t="s">
        <v>19</v>
      </c>
      <c r="C30" s="27" t="n">
        <v>96.0293328563763</v>
      </c>
      <c r="D30" s="7" t="n">
        <v>96.3853807431592</v>
      </c>
      <c r="E30" s="31" t="n">
        <v>49</v>
      </c>
      <c r="F30" s="31" t="n">
        <v>3</v>
      </c>
      <c r="G30" s="31" t="n">
        <v>3</v>
      </c>
      <c r="H30" s="37" t="n">
        <f aca="false">IFERROR(E30/(E30+F30)*100,0)</f>
        <v>94.2307692307692</v>
      </c>
      <c r="I30" s="37" t="n">
        <f aca="false">IFERROR(E30/(E30+G30)*100,0)</f>
        <v>94.2307692307692</v>
      </c>
      <c r="J30" s="28" t="n">
        <f aca="false">IFERROR(2*H30*I30/(H30+I30),0)</f>
        <v>94.2307692307692</v>
      </c>
    </row>
    <row r="31" customFormat="false" ht="15" hidden="false" customHeight="true" outlineLevel="0" collapsed="false">
      <c r="A31" s="2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9" width="24"/>
    <col collapsed="false" customWidth="true" hidden="false" outlineLevel="0" max="3" min="3" style="19" width="22"/>
    <col collapsed="false" customWidth="true" hidden="false" outlineLevel="0" max="4" min="4" style="19" width="24"/>
    <col collapsed="false" customWidth="true" hidden="false" outlineLevel="0" max="5" min="5" style="19" width="58"/>
  </cols>
  <sheetData>
    <row r="1" customFormat="false" ht="17.25" hidden="false" customHeight="true" outlineLevel="0" collapsed="false">
      <c r="A1" s="20" t="s">
        <v>115</v>
      </c>
    </row>
    <row r="2" customFormat="false" ht="15" hidden="false" customHeight="true" outlineLevel="0" collapsed="false">
      <c r="A2" s="21" t="s">
        <v>116</v>
      </c>
    </row>
    <row r="4" customFormat="false" ht="30" hidden="false" customHeight="true" outlineLevel="0" collapsed="false">
      <c r="A4" s="16" t="s">
        <v>117</v>
      </c>
      <c r="B4" s="16"/>
      <c r="C4" s="16"/>
      <c r="D4" s="16"/>
      <c r="E4" s="16"/>
    </row>
    <row r="6" customFormat="false" ht="31.5" hidden="false" customHeight="true" outlineLevel="0" collapsed="false">
      <c r="A6" s="5" t="s">
        <v>118</v>
      </c>
      <c r="B6" s="5" t="s">
        <v>119</v>
      </c>
      <c r="C6" s="5" t="s">
        <v>120</v>
      </c>
      <c r="D6" s="5" t="s">
        <v>121</v>
      </c>
      <c r="E6" s="5" t="s">
        <v>122</v>
      </c>
    </row>
    <row r="7" customFormat="false" ht="15" hidden="false" customHeight="true" outlineLevel="0" collapsed="false">
      <c r="A7" s="16" t="s">
        <v>123</v>
      </c>
      <c r="B7" s="17" t="n">
        <v>5591</v>
      </c>
      <c r="C7" s="17" t="n">
        <v>756</v>
      </c>
      <c r="D7" s="4" t="s">
        <v>19</v>
      </c>
      <c r="E7" s="4"/>
    </row>
    <row r="8" customFormat="false" ht="30" hidden="false" customHeight="true" outlineLevel="0" collapsed="false">
      <c r="A8" s="11" t="s">
        <v>55</v>
      </c>
      <c r="B8" s="13" t="n">
        <f aca="false">'Track B'!I30</f>
        <v>94.2307692307692</v>
      </c>
      <c r="C8" s="38" t="n">
        <v>52.9100529100529</v>
      </c>
      <c r="D8" s="9" t="n">
        <f aca="false">IF(C8="","",B8-C8)</f>
        <v>41.3207163207163</v>
      </c>
      <c r="E8" s="6" t="s">
        <v>124</v>
      </c>
    </row>
    <row r="9" customFormat="false" ht="30" hidden="false" customHeight="true" outlineLevel="0" collapsed="false">
      <c r="A9" s="16" t="s">
        <v>51</v>
      </c>
      <c r="B9" s="15" t="n">
        <f aca="false">'Track B'!C30</f>
        <v>96.0293328563763</v>
      </c>
      <c r="C9" s="25" t="n">
        <f aca="false">IF(C8="","",C8)</f>
        <v>52.9100529100529</v>
      </c>
      <c r="D9" s="24" t="n">
        <f aca="false">IF(C9="","",B9-C9)</f>
        <v>43.1192799463234</v>
      </c>
      <c r="E9" s="4" t="s">
        <v>125</v>
      </c>
    </row>
    <row r="10" customFormat="false" ht="30" hidden="false" customHeight="true" outlineLevel="0" collapsed="false">
      <c r="A10" s="16" t="s">
        <v>56</v>
      </c>
      <c r="B10" s="15" t="n">
        <f aca="false">'Track B'!J30</f>
        <v>94.2307692307692</v>
      </c>
      <c r="C10" s="25" t="n">
        <f aca="false">IF(C8="","",2*C8/(100+C8)*100)</f>
        <v>69.2041522491349</v>
      </c>
      <c r="D10" s="24" t="n">
        <f aca="false">IF(C10="","",B10-C10)</f>
        <v>25.0266169816343</v>
      </c>
      <c r="E10" s="4" t="s">
        <v>126</v>
      </c>
    </row>
    <row r="12" customFormat="false" ht="15" hidden="false" customHeight="true" outlineLevel="0" collapsed="false">
      <c r="A12" s="21" t="s">
        <v>127</v>
      </c>
    </row>
    <row r="13" customFormat="false" ht="15" hidden="false" customHeight="true" outlineLevel="0" collapsed="false">
      <c r="A13" s="21" t="s">
        <v>128</v>
      </c>
    </row>
    <row r="14" customFormat="false" ht="15" hidden="false" customHeight="true" outlineLevel="0" collapsed="false">
      <c r="A14" s="21" t="s">
        <v>129</v>
      </c>
    </row>
    <row r="16" customFormat="false" ht="15" hidden="false" customHeight="false" outlineLevel="0" collapsed="false">
      <c r="A16" s="39" t="s">
        <v>130</v>
      </c>
    </row>
    <row r="17" customFormat="false" ht="31.5" hidden="false" customHeight="true" outlineLevel="0" collapsed="false">
      <c r="A17" s="5" t="s">
        <v>131</v>
      </c>
      <c r="B17" s="5" t="s">
        <v>132</v>
      </c>
      <c r="C17" s="5" t="s">
        <v>133</v>
      </c>
      <c r="D17" s="5" t="s">
        <v>51</v>
      </c>
      <c r="E17" s="5" t="s">
        <v>134</v>
      </c>
    </row>
    <row r="18" customFormat="false" ht="15" hidden="false" customHeight="false" outlineLevel="0" collapsed="false">
      <c r="A18" s="11" t="s">
        <v>135</v>
      </c>
      <c r="B18" s="40" t="n">
        <v>756</v>
      </c>
      <c r="C18" s="40" t="n">
        <v>400</v>
      </c>
      <c r="D18" s="28" t="n">
        <f aca="false">C18/B18*100</f>
        <v>52.9100529100529</v>
      </c>
      <c r="E18" s="6"/>
    </row>
    <row r="19" customFormat="false" ht="15" hidden="false" customHeight="false" outlineLevel="0" collapsed="false">
      <c r="A19" s="4" t="s">
        <v>136</v>
      </c>
      <c r="B19" s="17" t="n">
        <v>649</v>
      </c>
      <c r="C19" s="17" t="n">
        <v>372</v>
      </c>
      <c r="D19" s="25" t="n">
        <f aca="false">C19/B19*100</f>
        <v>57.3189522342065</v>
      </c>
      <c r="E19" s="4"/>
    </row>
    <row r="20" customFormat="false" ht="15" hidden="false" customHeight="false" outlineLevel="0" collapsed="false">
      <c r="A20" s="4" t="s">
        <v>137</v>
      </c>
      <c r="B20" s="17" t="n">
        <v>107</v>
      </c>
      <c r="C20" s="17" t="n">
        <v>28</v>
      </c>
      <c r="D20" s="25" t="n">
        <f aca="false">C20/B20*100</f>
        <v>26.1682242990654</v>
      </c>
      <c r="E20" s="4" t="s">
        <v>138</v>
      </c>
    </row>
    <row r="21" customFormat="false" ht="15" hidden="false" customHeight="false" outlineLevel="0" collapsed="false">
      <c r="A21" s="4" t="s">
        <v>139</v>
      </c>
      <c r="B21" s="17" t="n">
        <v>177</v>
      </c>
      <c r="C21" s="17" t="n">
        <v>41</v>
      </c>
      <c r="D21" s="25" t="n">
        <f aca="false">C21/B21*100</f>
        <v>23.1638418079096</v>
      </c>
      <c r="E21" s="4" t="s">
        <v>140</v>
      </c>
    </row>
    <row r="22" customFormat="false" ht="15" hidden="false" customHeight="false" outlineLevel="0" collapsed="false">
      <c r="A22" s="4" t="s">
        <v>141</v>
      </c>
      <c r="B22" s="17" t="n">
        <v>301</v>
      </c>
      <c r="C22" s="17" t="n">
        <v>169</v>
      </c>
      <c r="D22" s="25" t="n">
        <f aca="false">C22/B22*100</f>
        <v>56.1461794019934</v>
      </c>
      <c r="E22" s="4"/>
    </row>
    <row r="23" customFormat="false" ht="15" hidden="false" customHeight="false" outlineLevel="0" collapsed="false">
      <c r="A23" s="4" t="s">
        <v>142</v>
      </c>
      <c r="B23" s="17" t="n">
        <v>278</v>
      </c>
      <c r="C23" s="17" t="n">
        <v>190</v>
      </c>
      <c r="D23" s="25" t="n">
        <f aca="false">C23/B23*100</f>
        <v>68.3453237410072</v>
      </c>
      <c r="E23" s="4"/>
    </row>
    <row r="24" customFormat="false" ht="15" hidden="false" customHeight="false" outlineLevel="0" collapsed="false">
      <c r="A24" s="4" t="s">
        <v>143</v>
      </c>
      <c r="B24" s="17" t="n">
        <v>355</v>
      </c>
      <c r="C24" s="17" t="n">
        <v>202</v>
      </c>
      <c r="D24" s="25" t="n">
        <f aca="false">C24/B24*100</f>
        <v>56.9014084507042</v>
      </c>
      <c r="E24" s="4"/>
    </row>
    <row r="25" customFormat="false" ht="30" hidden="false" customHeight="true" outlineLevel="0" collapsed="false">
      <c r="A25" s="4" t="s">
        <v>144</v>
      </c>
      <c r="B25" s="17" t="n">
        <v>401</v>
      </c>
      <c r="C25" s="17" t="n">
        <v>198</v>
      </c>
      <c r="D25" s="25" t="n">
        <f aca="false">C25/B25*100</f>
        <v>49.3765586034913</v>
      </c>
      <c r="E25" s="4" t="s">
        <v>145</v>
      </c>
    </row>
    <row r="28" customFormat="false" ht="15" hidden="false" customHeight="false" outlineLevel="0" collapsed="false">
      <c r="A28" s="39" t="s">
        <v>146</v>
      </c>
    </row>
    <row r="29" customFormat="false" ht="31.5" hidden="false" customHeight="true" outlineLevel="0" collapsed="false">
      <c r="A29" s="5" t="s">
        <v>147</v>
      </c>
      <c r="B29" s="5" t="s">
        <v>148</v>
      </c>
      <c r="C29" s="5" t="s">
        <v>26</v>
      </c>
      <c r="D29" s="5" t="s">
        <v>27</v>
      </c>
      <c r="E29" s="5" t="s">
        <v>149</v>
      </c>
    </row>
    <row r="30" customFormat="false" ht="23.85" hidden="false" customHeight="false" outlineLevel="0" collapsed="false">
      <c r="A30" s="11" t="s">
        <v>29</v>
      </c>
      <c r="B30" s="41" t="n">
        <f aca="false">D8</f>
        <v>41.3207163207163</v>
      </c>
      <c r="C30" s="7" t="n">
        <v>33.36</v>
      </c>
      <c r="D30" s="7" t="n">
        <v>47.81</v>
      </c>
      <c r="E30" s="6" t="s">
        <v>150</v>
      </c>
    </row>
    <row r="31" customFormat="false" ht="15" hidden="false" customHeight="false" outlineLevel="0" collapsed="false">
      <c r="A31" s="4" t="s">
        <v>31</v>
      </c>
      <c r="B31" s="24" t="n">
        <f aca="false">D9</f>
        <v>43.1192799463234</v>
      </c>
      <c r="C31" s="23" t="n">
        <v>39.55</v>
      </c>
      <c r="D31" s="23" t="n">
        <v>46.74</v>
      </c>
      <c r="E31" s="4" t="s">
        <v>151</v>
      </c>
    </row>
    <row r="32" customFormat="false" ht="15" hidden="false" customHeight="false" outlineLevel="0" collapsed="false">
      <c r="A32" s="4" t="s">
        <v>33</v>
      </c>
      <c r="B32" s="24" t="n">
        <f aca="false">D10</f>
        <v>25.0266169816343</v>
      </c>
      <c r="C32" s="23" t="n">
        <v>19.23</v>
      </c>
      <c r="D32" s="23" t="n">
        <v>30.01</v>
      </c>
      <c r="E32" s="4" t="s">
        <v>151</v>
      </c>
    </row>
    <row r="34" customFormat="false" ht="15" hidden="false" customHeight="false" outlineLevel="0" collapsed="false">
      <c r="A34" s="2" t="s">
        <v>152</v>
      </c>
    </row>
  </sheetData>
  <mergeCells count="1"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0"/>
    <col collapsed="false" customWidth="true" hidden="false" outlineLevel="0" max="2" min="2" style="19" width="110"/>
  </cols>
  <sheetData>
    <row r="1" customFormat="false" ht="17.25" hidden="false" customHeight="true" outlineLevel="0" collapsed="false">
      <c r="A1" s="20" t="s">
        <v>153</v>
      </c>
    </row>
    <row r="3" customFormat="false" ht="31.5" hidden="false" customHeight="true" outlineLevel="0" collapsed="false">
      <c r="A3" s="5" t="s">
        <v>154</v>
      </c>
      <c r="B3" s="5" t="s">
        <v>155</v>
      </c>
    </row>
    <row r="4" customFormat="false" ht="48" hidden="false" customHeight="true" outlineLevel="0" collapsed="false">
      <c r="A4" s="16" t="s">
        <v>156</v>
      </c>
      <c r="B4" s="4" t="s">
        <v>157</v>
      </c>
    </row>
    <row r="5" customFormat="false" ht="48" hidden="false" customHeight="true" outlineLevel="0" collapsed="false">
      <c r="A5" s="16" t="s">
        <v>158</v>
      </c>
      <c r="B5" s="4" t="s">
        <v>159</v>
      </c>
    </row>
    <row r="6" customFormat="false" ht="48" hidden="false" customHeight="true" outlineLevel="0" collapsed="false">
      <c r="A6" s="16" t="s">
        <v>160</v>
      </c>
      <c r="B6" s="4" t="s">
        <v>161</v>
      </c>
    </row>
    <row r="7" customFormat="false" ht="48" hidden="false" customHeight="true" outlineLevel="0" collapsed="false">
      <c r="A7" s="16" t="s">
        <v>162</v>
      </c>
      <c r="B7" s="4" t="s">
        <v>163</v>
      </c>
    </row>
    <row r="8" customFormat="false" ht="48" hidden="false" customHeight="true" outlineLevel="0" collapsed="false">
      <c r="A8" s="16" t="s">
        <v>164</v>
      </c>
      <c r="B8" s="4" t="s">
        <v>165</v>
      </c>
    </row>
    <row r="9" customFormat="false" ht="48" hidden="false" customHeight="true" outlineLevel="0" collapsed="false">
      <c r="A9" s="16" t="s">
        <v>166</v>
      </c>
      <c r="B9" s="4" t="s">
        <v>167</v>
      </c>
    </row>
    <row r="10" customFormat="false" ht="48" hidden="false" customHeight="true" outlineLevel="0" collapsed="false">
      <c r="A10" s="16" t="s">
        <v>168</v>
      </c>
      <c r="B10" s="4" t="s">
        <v>169</v>
      </c>
    </row>
    <row r="11" customFormat="false" ht="48" hidden="false" customHeight="true" outlineLevel="0" collapsed="false">
      <c r="A11" s="16" t="s">
        <v>170</v>
      </c>
      <c r="B11" s="4" t="s">
        <v>171</v>
      </c>
    </row>
    <row r="12" customFormat="false" ht="48" hidden="false" customHeight="true" outlineLevel="0" collapsed="false">
      <c r="A12" s="16" t="s">
        <v>172</v>
      </c>
      <c r="B12" s="4" t="s">
        <v>173</v>
      </c>
    </row>
    <row r="13" customFormat="false" ht="48" hidden="false" customHeight="true" outlineLevel="0" collapsed="false">
      <c r="A13" s="16" t="s">
        <v>174</v>
      </c>
      <c r="B13" s="4" t="s">
        <v>175</v>
      </c>
    </row>
    <row r="14" customFormat="false" ht="48" hidden="false" customHeight="true" outlineLevel="0" collapsed="false">
      <c r="A14" s="16" t="s">
        <v>176</v>
      </c>
      <c r="B14" s="4" t="s">
        <v>177</v>
      </c>
    </row>
    <row r="15" customFormat="false" ht="48" hidden="false" customHeight="true" outlineLevel="0" collapsed="false">
      <c r="A15" s="16" t="s">
        <v>178</v>
      </c>
      <c r="B15" s="4" t="s">
        <v>179</v>
      </c>
    </row>
    <row r="16" customFormat="false" ht="48" hidden="false" customHeight="true" outlineLevel="0" collapsed="false">
      <c r="A16" s="16" t="s">
        <v>180</v>
      </c>
      <c r="B16" s="4" t="s">
        <v>181</v>
      </c>
    </row>
    <row r="17" customFormat="false" ht="48" hidden="false" customHeight="true" outlineLevel="0" collapsed="false">
      <c r="A17" s="16" t="s">
        <v>182</v>
      </c>
      <c r="B17" s="4" t="s">
        <v>183</v>
      </c>
    </row>
    <row r="18" customFormat="false" ht="48" hidden="false" customHeight="true" outlineLevel="0" collapsed="false">
      <c r="A18" s="16" t="s">
        <v>184</v>
      </c>
      <c r="B18" s="4" t="s">
        <v>185</v>
      </c>
    </row>
    <row r="19" customFormat="false" ht="48" hidden="false" customHeight="true" outlineLevel="0" collapsed="false">
      <c r="A19" s="16" t="s">
        <v>186</v>
      </c>
      <c r="B19" s="4" t="s">
        <v>187</v>
      </c>
    </row>
    <row r="20" customFormat="false" ht="48" hidden="false" customHeight="true" outlineLevel="0" collapsed="false">
      <c r="A20" s="16" t="s">
        <v>188</v>
      </c>
      <c r="B20" s="4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2026-09-28T09:11:16Z</dcterms:created>
  <dc:creator>openpyxl</dc:creator>
  <dc:description/>
  <dc:language>en-US</dc:language>
  <cp:lastModifiedBy/>
  <dcterms:modified xsi:type="dcterms:W3CDTF">2026-10-19T10:17:37Z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